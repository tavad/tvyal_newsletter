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defaultThemeVersion="124226"/>
  <xr:revisionPtr revIDLastSave="0" documentId="13_ncr:1_{DF34092D-FF5A-4DF9-B74D-585A16F30C13}" xr6:coauthVersionLast="47" xr6:coauthVersionMax="47" xr10:uidLastSave="{00000000-0000-0000-0000-000000000000}"/>
  <bookViews>
    <workbookView xWindow="-120" yWindow="-120" windowWidth="29040" windowHeight="15840" tabRatio="605" xr2:uid="{00000000-000D-0000-FFFF-FFFF00000000}"/>
  </bookViews>
  <sheets>
    <sheet name=" Eng actual exchange rate"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E35" i="4" l="1"/>
  <c r="EE59" i="4"/>
  <c r="EE58" i="4"/>
  <c r="EE57" i="4"/>
  <c r="EE56" i="4"/>
  <c r="EE55" i="4"/>
  <c r="EE54" i="4"/>
  <c r="EE53" i="4"/>
  <c r="EE52" i="4"/>
  <c r="EE51" i="4"/>
  <c r="EE50" i="4"/>
  <c r="EE49" i="4"/>
  <c r="EE48" i="4"/>
  <c r="EE47" i="4"/>
  <c r="EE46" i="4"/>
  <c r="EE45" i="4"/>
  <c r="EE44" i="4"/>
  <c r="EE43" i="4"/>
  <c r="EE42" i="4"/>
  <c r="EE41" i="4"/>
  <c r="EE40" i="4"/>
  <c r="EE39" i="4"/>
  <c r="EE38" i="4"/>
  <c r="EE37" i="4"/>
  <c r="EE36" i="4"/>
  <c r="EF59" i="4"/>
  <c r="EF58" i="4"/>
  <c r="EF57" i="4"/>
  <c r="EF56" i="4"/>
  <c r="EF55" i="4"/>
  <c r="EF54" i="4"/>
  <c r="EF53" i="4"/>
  <c r="EF52" i="4"/>
  <c r="EF51" i="4"/>
  <c r="EF50" i="4"/>
  <c r="EF49" i="4"/>
  <c r="EF48" i="4"/>
  <c r="EF47" i="4"/>
  <c r="EF46" i="4"/>
  <c r="EF45" i="4"/>
  <c r="EF44" i="4"/>
  <c r="EF43" i="4"/>
  <c r="EF42" i="4"/>
  <c r="EF41" i="4"/>
  <c r="EF40" i="4"/>
  <c r="EF39" i="4"/>
  <c r="EF38" i="4"/>
  <c r="EF37" i="4"/>
  <c r="EF36" i="4"/>
  <c r="EF35" i="4"/>
  <c r="ED59" i="4" l="1"/>
  <c r="ED58" i="4"/>
  <c r="ED57" i="4"/>
  <c r="ED56" i="4"/>
  <c r="ED55" i="4"/>
  <c r="ED54" i="4"/>
  <c r="ED53" i="4"/>
  <c r="ED52" i="4"/>
  <c r="ED51" i="4"/>
  <c r="ED50" i="4"/>
  <c r="ED49" i="4"/>
  <c r="ED48" i="4"/>
  <c r="ED47" i="4"/>
  <c r="ED46" i="4"/>
  <c r="ED45" i="4"/>
  <c r="ED44" i="4"/>
  <c r="ED43" i="4"/>
  <c r="ED42" i="4"/>
  <c r="ED41" i="4"/>
  <c r="ED40" i="4"/>
  <c r="ED39" i="4"/>
  <c r="ED38" i="4"/>
  <c r="ED37" i="4"/>
  <c r="ED36" i="4"/>
  <c r="ED35" i="4"/>
  <c r="EC59" i="4"/>
  <c r="EC58" i="4"/>
  <c r="EC57" i="4"/>
  <c r="EC56" i="4"/>
  <c r="EC55" i="4"/>
  <c r="EC54" i="4"/>
  <c r="EC53" i="4"/>
  <c r="EC52" i="4"/>
  <c r="EC51" i="4"/>
  <c r="EC50" i="4"/>
  <c r="EC49" i="4"/>
  <c r="EC48" i="4"/>
  <c r="EC47" i="4"/>
  <c r="EC46" i="4"/>
  <c r="EC45" i="4"/>
  <c r="EC44" i="4"/>
  <c r="EC43" i="4"/>
  <c r="EC42" i="4"/>
  <c r="EC41" i="4"/>
  <c r="EC40" i="4"/>
  <c r="EC39" i="4"/>
  <c r="EC38" i="4"/>
  <c r="EC37" i="4"/>
  <c r="EC36" i="4"/>
  <c r="EC35" i="4"/>
  <c r="EB59" i="4" l="1"/>
  <c r="EB58" i="4"/>
  <c r="EB57" i="4"/>
  <c r="EB56" i="4"/>
  <c r="EB55" i="4"/>
  <c r="EB54" i="4"/>
  <c r="EB53" i="4"/>
  <c r="EB52" i="4"/>
  <c r="EB51" i="4"/>
  <c r="EB50" i="4"/>
  <c r="EB49" i="4"/>
  <c r="EB48" i="4"/>
  <c r="EB47" i="4"/>
  <c r="EB46" i="4"/>
  <c r="EB45" i="4"/>
  <c r="EB44" i="4"/>
  <c r="EB43" i="4"/>
  <c r="EB42" i="4"/>
  <c r="EB41" i="4"/>
  <c r="EB40" i="4"/>
  <c r="EB39" i="4"/>
  <c r="EB38" i="4"/>
  <c r="EB37" i="4"/>
  <c r="EB36" i="4"/>
  <c r="EB35" i="4"/>
  <c r="EA59" i="4" l="1"/>
  <c r="EA58" i="4"/>
  <c r="EA57" i="4"/>
  <c r="EA56" i="4"/>
  <c r="EA55" i="4"/>
  <c r="EA54" i="4"/>
  <c r="EA53" i="4"/>
  <c r="EA52" i="4"/>
  <c r="EA51" i="4"/>
  <c r="EA50" i="4"/>
  <c r="EA49" i="4"/>
  <c r="EA48" i="4"/>
  <c r="EA47" i="4"/>
  <c r="EA46" i="4"/>
  <c r="EA45" i="4"/>
  <c r="EA44" i="4"/>
  <c r="EA43" i="4"/>
  <c r="EA42" i="4"/>
  <c r="EA41" i="4"/>
  <c r="EA40" i="4"/>
  <c r="EA39" i="4"/>
  <c r="EA38" i="4"/>
  <c r="EA37" i="4"/>
  <c r="EA36" i="4"/>
  <c r="EA35" i="4"/>
  <c r="DZ59" i="4" l="1"/>
  <c r="DZ58" i="4"/>
  <c r="DZ57" i="4"/>
  <c r="DZ56" i="4"/>
  <c r="DZ55" i="4"/>
  <c r="DZ54" i="4"/>
  <c r="DZ53" i="4"/>
  <c r="DZ52" i="4"/>
  <c r="DZ51" i="4"/>
  <c r="DZ50" i="4"/>
  <c r="DZ49" i="4"/>
  <c r="DZ48" i="4"/>
  <c r="DZ47" i="4"/>
  <c r="DZ46" i="4"/>
  <c r="DZ45" i="4"/>
  <c r="DZ44" i="4"/>
  <c r="DZ43" i="4"/>
  <c r="DZ42" i="4"/>
  <c r="DZ41" i="4"/>
  <c r="DZ40" i="4"/>
  <c r="DZ39" i="4"/>
  <c r="DZ38" i="4"/>
  <c r="DZ37" i="4"/>
  <c r="DZ36" i="4"/>
  <c r="DZ35" i="4"/>
  <c r="DY59" i="4" l="1"/>
  <c r="DY58" i="4"/>
  <c r="DY57" i="4"/>
  <c r="DY56" i="4"/>
  <c r="DY55" i="4"/>
  <c r="DY54" i="4"/>
  <c r="DY53" i="4"/>
  <c r="DY52" i="4"/>
  <c r="DY51" i="4"/>
  <c r="DY50" i="4"/>
  <c r="DY49" i="4"/>
  <c r="DY48" i="4"/>
  <c r="DY47" i="4"/>
  <c r="DY46" i="4"/>
  <c r="DY45" i="4"/>
  <c r="DY44" i="4"/>
  <c r="DY43" i="4"/>
  <c r="DY42" i="4"/>
  <c r="DY41" i="4"/>
  <c r="DY40" i="4"/>
  <c r="DY39" i="4"/>
  <c r="DY38" i="4"/>
  <c r="DY37" i="4"/>
  <c r="DY36" i="4"/>
  <c r="DY35" i="4"/>
  <c r="DX59" i="4" l="1"/>
  <c r="DX58" i="4"/>
  <c r="DX57" i="4"/>
  <c r="DX56" i="4"/>
  <c r="DX55" i="4"/>
  <c r="DX54" i="4"/>
  <c r="DX53" i="4"/>
  <c r="DX52" i="4"/>
  <c r="DX51" i="4"/>
  <c r="DX50" i="4"/>
  <c r="DX49" i="4"/>
  <c r="DX48" i="4"/>
  <c r="DX47" i="4"/>
  <c r="DX46" i="4"/>
  <c r="DX45" i="4"/>
  <c r="DX44" i="4"/>
  <c r="DX43" i="4"/>
  <c r="DX42" i="4"/>
  <c r="DX41" i="4"/>
  <c r="DX40" i="4"/>
  <c r="DX39" i="4"/>
  <c r="DX38" i="4"/>
  <c r="DX37" i="4"/>
  <c r="DX36" i="4"/>
  <c r="DX35" i="4"/>
  <c r="DW59" i="4" l="1"/>
  <c r="DW58" i="4"/>
  <c r="DW57" i="4"/>
  <c r="DW56" i="4"/>
  <c r="DW55" i="4"/>
  <c r="DW54" i="4"/>
  <c r="DW53" i="4"/>
  <c r="DW52" i="4"/>
  <c r="DW51" i="4"/>
  <c r="DW50" i="4"/>
  <c r="DW49" i="4"/>
  <c r="DW48" i="4"/>
  <c r="DW47" i="4"/>
  <c r="DW46" i="4"/>
  <c r="DW45" i="4"/>
  <c r="DW44" i="4"/>
  <c r="DW43" i="4"/>
  <c r="DW42" i="4"/>
  <c r="DW41" i="4"/>
  <c r="DW40" i="4"/>
  <c r="DW39" i="4"/>
  <c r="DW38" i="4"/>
  <c r="DW37" i="4"/>
  <c r="DW36" i="4"/>
  <c r="DW35" i="4"/>
  <c r="DV59" i="4" l="1"/>
  <c r="DV58" i="4"/>
  <c r="DV57" i="4"/>
  <c r="DV56" i="4"/>
  <c r="DV55" i="4"/>
  <c r="DV54" i="4"/>
  <c r="DV53" i="4"/>
  <c r="DV52" i="4"/>
  <c r="DV51" i="4"/>
  <c r="DV50" i="4"/>
  <c r="DV49" i="4"/>
  <c r="DV48" i="4"/>
  <c r="DV47" i="4"/>
  <c r="DV46" i="4"/>
  <c r="DV45" i="4"/>
  <c r="DV44" i="4"/>
  <c r="DV43" i="4"/>
  <c r="DV42" i="4"/>
  <c r="DV41" i="4"/>
  <c r="DV40" i="4"/>
  <c r="DV39" i="4"/>
  <c r="DV38" i="4"/>
  <c r="DV37" i="4"/>
  <c r="DV36" i="4"/>
  <c r="DV35" i="4"/>
  <c r="DU59" i="4" l="1"/>
  <c r="DU58" i="4"/>
  <c r="DU57" i="4"/>
  <c r="DU56" i="4"/>
  <c r="DU55" i="4"/>
  <c r="DU54" i="4"/>
  <c r="DU53" i="4"/>
  <c r="DU52" i="4"/>
  <c r="DU51" i="4"/>
  <c r="DU50" i="4"/>
  <c r="DU49" i="4"/>
  <c r="DU48" i="4"/>
  <c r="DU47" i="4"/>
  <c r="DU46" i="4"/>
  <c r="DU45" i="4"/>
  <c r="DU44" i="4"/>
  <c r="DU43" i="4"/>
  <c r="DU42" i="4"/>
  <c r="DU41" i="4"/>
  <c r="DU40" i="4"/>
  <c r="DU39" i="4"/>
  <c r="DU38" i="4"/>
  <c r="DU37" i="4"/>
  <c r="DU36" i="4"/>
  <c r="DU35" i="4"/>
  <c r="DT59" i="4" l="1"/>
  <c r="DT58" i="4"/>
  <c r="DT57" i="4"/>
  <c r="DT56" i="4"/>
  <c r="DT55" i="4"/>
  <c r="DT54" i="4"/>
  <c r="DT53" i="4"/>
  <c r="DT52" i="4"/>
  <c r="DT51" i="4"/>
  <c r="DT50" i="4"/>
  <c r="DT49" i="4"/>
  <c r="DT48" i="4"/>
  <c r="DT47" i="4"/>
  <c r="DT46" i="4"/>
  <c r="DT45" i="4"/>
  <c r="DT44" i="4"/>
  <c r="DT43" i="4"/>
  <c r="DT42" i="4"/>
  <c r="DT41" i="4"/>
  <c r="DT40" i="4"/>
  <c r="DT39" i="4"/>
  <c r="DT38" i="4"/>
  <c r="DT37" i="4"/>
  <c r="DT36" i="4"/>
  <c r="DT35" i="4"/>
  <c r="DS59" i="4" l="1"/>
  <c r="DS58" i="4"/>
  <c r="DS57" i="4"/>
  <c r="DS56" i="4"/>
  <c r="DS55" i="4"/>
  <c r="DS54" i="4"/>
  <c r="DS53" i="4"/>
  <c r="DS52" i="4"/>
  <c r="DS51" i="4"/>
  <c r="DS50" i="4"/>
  <c r="DS49" i="4"/>
  <c r="DS48" i="4"/>
  <c r="DS47" i="4"/>
  <c r="DS46" i="4"/>
  <c r="DS45" i="4"/>
  <c r="DS44" i="4"/>
  <c r="DS43" i="4"/>
  <c r="DS42" i="4"/>
  <c r="DS41" i="4"/>
  <c r="DS40" i="4"/>
  <c r="DS39" i="4"/>
  <c r="DS38" i="4"/>
  <c r="DS37" i="4"/>
  <c r="DS36" i="4"/>
  <c r="DS35" i="4"/>
  <c r="DR59" i="4" l="1"/>
  <c r="DR58" i="4"/>
  <c r="DR57" i="4"/>
  <c r="DR56" i="4"/>
  <c r="DR55" i="4"/>
  <c r="DR54" i="4"/>
  <c r="DR53" i="4"/>
  <c r="DR52" i="4"/>
  <c r="DR51" i="4"/>
  <c r="DR50" i="4"/>
  <c r="DR49" i="4"/>
  <c r="DR48" i="4"/>
  <c r="DR47" i="4"/>
  <c r="DR46" i="4"/>
  <c r="DR45" i="4"/>
  <c r="DR44" i="4"/>
  <c r="DR43" i="4"/>
  <c r="DR42" i="4"/>
  <c r="DR41" i="4"/>
  <c r="DR40" i="4"/>
  <c r="DR39" i="4"/>
  <c r="DR38" i="4"/>
  <c r="DR37" i="4"/>
  <c r="DR36" i="4"/>
  <c r="DR35" i="4"/>
  <c r="DQ59" i="4" l="1"/>
  <c r="DQ58" i="4"/>
  <c r="DQ57" i="4"/>
  <c r="DQ56" i="4"/>
  <c r="DQ55" i="4"/>
  <c r="DQ54" i="4"/>
  <c r="DQ53" i="4"/>
  <c r="DQ52" i="4"/>
  <c r="DQ51" i="4"/>
  <c r="DQ50" i="4"/>
  <c r="DQ49" i="4"/>
  <c r="DQ48" i="4"/>
  <c r="DQ47" i="4"/>
  <c r="DQ46" i="4"/>
  <c r="DQ45" i="4"/>
  <c r="DQ44" i="4"/>
  <c r="DQ43" i="4"/>
  <c r="DQ42" i="4"/>
  <c r="DQ41" i="4"/>
  <c r="DQ40" i="4"/>
  <c r="DQ39" i="4"/>
  <c r="DQ38" i="4"/>
  <c r="DQ37" i="4"/>
  <c r="DQ36" i="4"/>
  <c r="DQ35" i="4"/>
  <c r="DP59" i="4" l="1"/>
  <c r="DP58" i="4"/>
  <c r="DP57" i="4"/>
  <c r="DP56" i="4"/>
  <c r="DP55" i="4"/>
  <c r="DP54" i="4"/>
  <c r="DP53" i="4"/>
  <c r="DP52" i="4"/>
  <c r="DP51" i="4"/>
  <c r="DP50" i="4"/>
  <c r="DP49" i="4"/>
  <c r="DP48" i="4"/>
  <c r="DP47" i="4"/>
  <c r="DP46" i="4"/>
  <c r="DP45" i="4"/>
  <c r="DP44" i="4"/>
  <c r="DP43" i="4"/>
  <c r="DP42" i="4"/>
  <c r="DP41" i="4"/>
  <c r="DP40" i="4"/>
  <c r="DP39" i="4"/>
  <c r="DP38" i="4"/>
  <c r="DP37" i="4"/>
  <c r="DP36" i="4"/>
  <c r="DP35" i="4"/>
  <c r="DO59" i="4" l="1"/>
  <c r="DO58" i="4"/>
  <c r="DO57" i="4"/>
  <c r="DO56" i="4"/>
  <c r="DO55" i="4"/>
  <c r="DO54" i="4"/>
  <c r="DO53" i="4"/>
  <c r="DO52" i="4"/>
  <c r="DO51" i="4"/>
  <c r="DO50" i="4"/>
  <c r="DO49" i="4"/>
  <c r="DO48" i="4"/>
  <c r="DO47" i="4"/>
  <c r="DO46" i="4"/>
  <c r="DO45" i="4"/>
  <c r="DO44" i="4"/>
  <c r="DO43" i="4"/>
  <c r="DO42" i="4"/>
  <c r="DO41" i="4"/>
  <c r="DO40" i="4"/>
  <c r="DO39" i="4"/>
  <c r="DO38" i="4"/>
  <c r="DO37" i="4"/>
  <c r="DO36" i="4"/>
  <c r="DO35" i="4"/>
  <c r="DN59" i="4" l="1"/>
  <c r="DN58" i="4"/>
  <c r="DN57" i="4"/>
  <c r="DN56" i="4"/>
  <c r="DN55" i="4"/>
  <c r="DN54" i="4"/>
  <c r="DN53" i="4"/>
  <c r="DN52" i="4"/>
  <c r="DN51" i="4"/>
  <c r="DN50" i="4"/>
  <c r="DN49" i="4"/>
  <c r="DN48" i="4"/>
  <c r="DN47" i="4"/>
  <c r="DN46" i="4"/>
  <c r="DN45" i="4"/>
  <c r="DN44" i="4"/>
  <c r="DN43" i="4"/>
  <c r="DN42" i="4"/>
  <c r="DN41" i="4"/>
  <c r="DN40" i="4"/>
  <c r="DN39" i="4"/>
  <c r="DN38" i="4"/>
  <c r="DN37" i="4"/>
  <c r="DN36" i="4"/>
  <c r="DN35" i="4"/>
  <c r="DM59" i="4" l="1"/>
  <c r="DM58" i="4"/>
  <c r="DM57" i="4"/>
  <c r="DM56" i="4"/>
  <c r="DM55" i="4"/>
  <c r="DM54" i="4"/>
  <c r="DM53" i="4"/>
  <c r="DM52" i="4"/>
  <c r="DM51" i="4"/>
  <c r="DM50" i="4"/>
  <c r="DM49" i="4"/>
  <c r="DM48" i="4"/>
  <c r="DM47" i="4"/>
  <c r="DM46" i="4"/>
  <c r="DM45" i="4"/>
  <c r="DM44" i="4"/>
  <c r="DM43" i="4"/>
  <c r="DM42" i="4"/>
  <c r="DM41" i="4"/>
  <c r="DM40" i="4"/>
  <c r="DM39" i="4"/>
  <c r="DM38" i="4"/>
  <c r="DM37" i="4"/>
  <c r="DM36" i="4"/>
  <c r="DM35" i="4"/>
  <c r="DL59" i="4" l="1"/>
  <c r="DL58" i="4"/>
  <c r="DL57" i="4"/>
  <c r="DL56" i="4"/>
  <c r="DL55" i="4"/>
  <c r="DL54" i="4"/>
  <c r="DL53" i="4"/>
  <c r="DL52" i="4"/>
  <c r="DL51" i="4"/>
  <c r="DL50" i="4"/>
  <c r="DL49" i="4"/>
  <c r="DL48" i="4"/>
  <c r="DL47" i="4"/>
  <c r="DL46" i="4"/>
  <c r="DL45" i="4"/>
  <c r="DL44" i="4"/>
  <c r="DL43" i="4"/>
  <c r="DL42" i="4"/>
  <c r="DL41" i="4"/>
  <c r="DL40" i="4"/>
  <c r="DL39" i="4"/>
  <c r="DL38" i="4"/>
  <c r="DL37" i="4"/>
  <c r="DL36" i="4"/>
  <c r="DL35" i="4"/>
  <c r="DJ59" i="4" l="1"/>
  <c r="DJ58" i="4"/>
  <c r="DJ57" i="4"/>
  <c r="DJ56" i="4"/>
  <c r="DJ55" i="4"/>
  <c r="DJ54" i="4"/>
  <c r="DJ53" i="4"/>
  <c r="DJ52" i="4"/>
  <c r="DJ51" i="4"/>
  <c r="DJ50" i="4"/>
  <c r="DJ49" i="4"/>
  <c r="DJ48" i="4"/>
  <c r="DJ47" i="4"/>
  <c r="DJ46" i="4"/>
  <c r="DJ45" i="4"/>
  <c r="DJ44" i="4"/>
  <c r="DJ43" i="4"/>
  <c r="DJ42" i="4"/>
  <c r="DJ41" i="4"/>
  <c r="DJ40" i="4"/>
  <c r="DJ39" i="4"/>
  <c r="DJ38" i="4"/>
  <c r="DJ37" i="4"/>
  <c r="DJ36" i="4"/>
  <c r="DJ35" i="4"/>
  <c r="DK59" i="4" l="1"/>
  <c r="DK58" i="4"/>
  <c r="DK57" i="4"/>
  <c r="DK56" i="4"/>
  <c r="DK55" i="4"/>
  <c r="DK54" i="4"/>
  <c r="DK53" i="4"/>
  <c r="DK52" i="4"/>
  <c r="DK51" i="4"/>
  <c r="DK50" i="4"/>
  <c r="DK49" i="4"/>
  <c r="DK48" i="4"/>
  <c r="DK47" i="4"/>
  <c r="DK46" i="4"/>
  <c r="DK45" i="4"/>
  <c r="DK44" i="4"/>
  <c r="DK43" i="4"/>
  <c r="DK42" i="4"/>
  <c r="DK41" i="4"/>
  <c r="DK40" i="4"/>
  <c r="DK39" i="4"/>
  <c r="DK38" i="4"/>
  <c r="DK37" i="4"/>
  <c r="DK36" i="4"/>
  <c r="DK35" i="4"/>
  <c r="DI59" i="4" l="1"/>
  <c r="DI58" i="4"/>
  <c r="DI57" i="4"/>
  <c r="DI56" i="4"/>
  <c r="DI55" i="4"/>
  <c r="DI54" i="4"/>
  <c r="DI53" i="4"/>
  <c r="DI52" i="4"/>
  <c r="DI51" i="4"/>
  <c r="DI50" i="4"/>
  <c r="DI49" i="4"/>
  <c r="DI48" i="4"/>
  <c r="DI47" i="4"/>
  <c r="DI46" i="4"/>
  <c r="DI45" i="4"/>
  <c r="DI44" i="4"/>
  <c r="DI43" i="4"/>
  <c r="DI42" i="4"/>
  <c r="DI41" i="4"/>
  <c r="DI40" i="4"/>
  <c r="DI39" i="4"/>
  <c r="DI38" i="4"/>
  <c r="DI37" i="4"/>
  <c r="DI36" i="4"/>
  <c r="DI35" i="4"/>
  <c r="DH59" i="4" l="1"/>
  <c r="DH58" i="4"/>
  <c r="DH57" i="4"/>
  <c r="DH56" i="4"/>
  <c r="DH55" i="4"/>
  <c r="DH54" i="4"/>
  <c r="DH53" i="4"/>
  <c r="DH52" i="4"/>
  <c r="DH51" i="4"/>
  <c r="DH50" i="4"/>
  <c r="DH49" i="4"/>
  <c r="DH48" i="4"/>
  <c r="DH47" i="4"/>
  <c r="DH46" i="4"/>
  <c r="DH45" i="4"/>
  <c r="DH44" i="4"/>
  <c r="DH43" i="4"/>
  <c r="DH42" i="4"/>
  <c r="DH41" i="4"/>
  <c r="DH40" i="4"/>
  <c r="DH39" i="4"/>
  <c r="DH38" i="4"/>
  <c r="DH37" i="4"/>
  <c r="DH36" i="4"/>
  <c r="DH35" i="4"/>
  <c r="DG59" i="4" l="1"/>
  <c r="DG58" i="4"/>
  <c r="DG57" i="4"/>
  <c r="DG56" i="4"/>
  <c r="DG55" i="4"/>
  <c r="DG54" i="4"/>
  <c r="DG53" i="4"/>
  <c r="DG52" i="4"/>
  <c r="DG51" i="4"/>
  <c r="DG50" i="4"/>
  <c r="DG49" i="4"/>
  <c r="DG48" i="4"/>
  <c r="DG47" i="4"/>
  <c r="DG46" i="4"/>
  <c r="DG45" i="4"/>
  <c r="DG44" i="4"/>
  <c r="DG43" i="4"/>
  <c r="DG42" i="4"/>
  <c r="DG41" i="4"/>
  <c r="DG40" i="4"/>
  <c r="DG39" i="4"/>
  <c r="DG38" i="4"/>
  <c r="DG37" i="4"/>
  <c r="DG36" i="4"/>
  <c r="DG35" i="4"/>
  <c r="DF59" i="4" l="1"/>
  <c r="DF58" i="4"/>
  <c r="DF57" i="4"/>
  <c r="DF56" i="4"/>
  <c r="DF55" i="4"/>
  <c r="DF54" i="4"/>
  <c r="DF53" i="4"/>
  <c r="DF52" i="4"/>
  <c r="DF51" i="4"/>
  <c r="DF50" i="4"/>
  <c r="DF49" i="4"/>
  <c r="DF48" i="4"/>
  <c r="DF47" i="4"/>
  <c r="DF46" i="4"/>
  <c r="DF45" i="4"/>
  <c r="DF44" i="4"/>
  <c r="DF43" i="4"/>
  <c r="DF42" i="4"/>
  <c r="DF41" i="4"/>
  <c r="DF40" i="4"/>
  <c r="DF39" i="4"/>
  <c r="DF38" i="4"/>
  <c r="DF37" i="4"/>
  <c r="DF36" i="4"/>
  <c r="DF35" i="4"/>
  <c r="DE59" i="4" l="1"/>
  <c r="DE58" i="4"/>
  <c r="DE57" i="4"/>
  <c r="DE56" i="4"/>
  <c r="DE55" i="4"/>
  <c r="DE54" i="4"/>
  <c r="DE53" i="4"/>
  <c r="DE52" i="4"/>
  <c r="DE51" i="4"/>
  <c r="DE50" i="4"/>
  <c r="DE49" i="4"/>
  <c r="DE48" i="4"/>
  <c r="DE47" i="4"/>
  <c r="DE46" i="4"/>
  <c r="DE45" i="4"/>
  <c r="DE44" i="4"/>
  <c r="DE43" i="4"/>
  <c r="DE42" i="4"/>
  <c r="DE41" i="4"/>
  <c r="DE40" i="4"/>
  <c r="DE39" i="4"/>
  <c r="DE38" i="4"/>
  <c r="DE37" i="4"/>
  <c r="DE36" i="4"/>
  <c r="DE35" i="4"/>
  <c r="DD59" i="4" l="1"/>
  <c r="DD58" i="4"/>
  <c r="DD57" i="4"/>
  <c r="DD56" i="4"/>
  <c r="DD55" i="4"/>
  <c r="DD54" i="4"/>
  <c r="DD53" i="4"/>
  <c r="DD52" i="4"/>
  <c r="DD51" i="4"/>
  <c r="DD50" i="4"/>
  <c r="DD49" i="4"/>
  <c r="DD48" i="4"/>
  <c r="DD47" i="4"/>
  <c r="DD46" i="4"/>
  <c r="DD45" i="4"/>
  <c r="DD44" i="4"/>
  <c r="DD43" i="4"/>
  <c r="DD42" i="4"/>
  <c r="DD41" i="4"/>
  <c r="DD40" i="4"/>
  <c r="DD39" i="4"/>
  <c r="DD38" i="4"/>
  <c r="DD37" i="4"/>
  <c r="DD36" i="4"/>
  <c r="DD35" i="4"/>
  <c r="DC59" i="4"/>
  <c r="DC58" i="4"/>
  <c r="DC57" i="4"/>
  <c r="DC56" i="4"/>
  <c r="DC55" i="4"/>
  <c r="DC54" i="4"/>
  <c r="DC53" i="4"/>
  <c r="DC52" i="4"/>
  <c r="DC51" i="4"/>
  <c r="DC50" i="4"/>
  <c r="DC49" i="4"/>
  <c r="DC48" i="4"/>
  <c r="DC47" i="4"/>
  <c r="DC46" i="4"/>
  <c r="DC45" i="4"/>
  <c r="DC44" i="4"/>
  <c r="DC43" i="4"/>
  <c r="DC42" i="4"/>
  <c r="DC41" i="4"/>
  <c r="DC40" i="4"/>
  <c r="DC39" i="4"/>
  <c r="DC38" i="4"/>
  <c r="DC37" i="4"/>
  <c r="DC36" i="4"/>
  <c r="DC35" i="4"/>
  <c r="DB59" i="4" l="1"/>
  <c r="DB58" i="4"/>
  <c r="DB57" i="4"/>
  <c r="DB56" i="4"/>
  <c r="DB55" i="4"/>
  <c r="DB54" i="4"/>
  <c r="DB53" i="4"/>
  <c r="DB52" i="4"/>
  <c r="DB51" i="4"/>
  <c r="DB50" i="4"/>
  <c r="DB49" i="4"/>
  <c r="DB48" i="4"/>
  <c r="DB47" i="4"/>
  <c r="DB46" i="4"/>
  <c r="DB45" i="4"/>
  <c r="DB44" i="4"/>
  <c r="DB43" i="4"/>
  <c r="DB42" i="4"/>
  <c r="DB41" i="4"/>
  <c r="DB40" i="4"/>
  <c r="DB39" i="4"/>
  <c r="DB38" i="4"/>
  <c r="DB37" i="4"/>
  <c r="DB36" i="4"/>
  <c r="DB35" i="4"/>
  <c r="DA59" i="4"/>
  <c r="DA58" i="4"/>
  <c r="DA57" i="4"/>
  <c r="DA56" i="4"/>
  <c r="DA55" i="4"/>
  <c r="DA54" i="4"/>
  <c r="DA53" i="4"/>
  <c r="DA52" i="4"/>
  <c r="DA51" i="4"/>
  <c r="DA50" i="4"/>
  <c r="DA49" i="4"/>
  <c r="DA48" i="4"/>
  <c r="DA47" i="4"/>
  <c r="DA46" i="4"/>
  <c r="DA45" i="4"/>
  <c r="DA44" i="4"/>
  <c r="DA43" i="4"/>
  <c r="DA42" i="4"/>
  <c r="DA41" i="4"/>
  <c r="DA40" i="4"/>
  <c r="DA39" i="4"/>
  <c r="DA38" i="4"/>
  <c r="DA37" i="4"/>
  <c r="DA36" i="4"/>
  <c r="DA35" i="4"/>
  <c r="CZ59" i="4" l="1"/>
  <c r="CZ58" i="4"/>
  <c r="CZ57" i="4"/>
  <c r="CZ56" i="4"/>
  <c r="CZ55" i="4"/>
  <c r="CZ54" i="4"/>
  <c r="CZ53" i="4"/>
  <c r="CZ52" i="4"/>
  <c r="CZ51" i="4"/>
  <c r="CZ50" i="4"/>
  <c r="CZ49" i="4"/>
  <c r="CZ48" i="4"/>
  <c r="CZ47" i="4"/>
  <c r="CZ46" i="4"/>
  <c r="CZ45" i="4"/>
  <c r="CZ44" i="4"/>
  <c r="CZ43" i="4"/>
  <c r="CZ42" i="4"/>
  <c r="CZ41" i="4"/>
  <c r="CZ40" i="4"/>
  <c r="CZ39" i="4"/>
  <c r="CZ38" i="4"/>
  <c r="CZ37" i="4"/>
  <c r="CZ36" i="4"/>
  <c r="CZ35" i="4"/>
  <c r="CY59" i="4" l="1"/>
  <c r="CY58" i="4"/>
  <c r="CY57" i="4"/>
  <c r="CY56" i="4"/>
  <c r="CY55" i="4"/>
  <c r="CY54" i="4"/>
  <c r="CY53" i="4"/>
  <c r="CY52" i="4"/>
  <c r="CY51" i="4"/>
  <c r="CY50" i="4"/>
  <c r="CY49" i="4"/>
  <c r="CY48" i="4"/>
  <c r="CY47" i="4"/>
  <c r="CY46" i="4"/>
  <c r="CY45" i="4"/>
  <c r="CY44" i="4"/>
  <c r="CY43" i="4"/>
  <c r="CY42" i="4"/>
  <c r="CY41" i="4"/>
  <c r="CY40" i="4"/>
  <c r="CY39" i="4"/>
  <c r="CY38" i="4"/>
  <c r="CY37" i="4"/>
  <c r="CY36" i="4"/>
  <c r="CY35" i="4"/>
  <c r="CX59" i="4" l="1"/>
  <c r="CX58" i="4"/>
  <c r="CX57" i="4"/>
  <c r="CX56" i="4"/>
  <c r="CX55" i="4"/>
  <c r="CX54" i="4"/>
  <c r="CX53" i="4"/>
  <c r="CX52" i="4"/>
  <c r="CX51" i="4"/>
  <c r="CX50" i="4"/>
  <c r="CX49" i="4"/>
  <c r="CX48" i="4"/>
  <c r="CX47" i="4"/>
  <c r="CX46" i="4"/>
  <c r="CX45" i="4"/>
  <c r="CX44" i="4"/>
  <c r="CX43" i="4"/>
  <c r="CX42" i="4"/>
  <c r="CX41" i="4"/>
  <c r="CX40" i="4"/>
  <c r="CX39" i="4"/>
  <c r="CX38" i="4"/>
  <c r="CX37" i="4"/>
  <c r="CX36" i="4"/>
  <c r="CX35" i="4"/>
  <c r="CW59" i="4" l="1"/>
  <c r="CW58" i="4"/>
  <c r="CW57" i="4"/>
  <c r="CW56" i="4"/>
  <c r="CW55" i="4"/>
  <c r="CW54" i="4"/>
  <c r="CW53" i="4"/>
  <c r="CW52" i="4"/>
  <c r="CW51" i="4"/>
  <c r="CW50" i="4"/>
  <c r="CW49" i="4"/>
  <c r="CW48" i="4"/>
  <c r="CW47" i="4"/>
  <c r="CW46" i="4"/>
  <c r="CW45" i="4"/>
  <c r="CW44" i="4"/>
  <c r="CW43" i="4"/>
  <c r="CW42" i="4"/>
  <c r="CW41" i="4"/>
  <c r="CW40" i="4"/>
  <c r="CW39" i="4"/>
  <c r="CW38" i="4"/>
  <c r="CW37" i="4"/>
  <c r="CW36" i="4"/>
  <c r="CW35" i="4"/>
  <c r="CV59" i="4" l="1"/>
  <c r="CV58" i="4"/>
  <c r="CV57" i="4"/>
  <c r="CV56" i="4"/>
  <c r="CV55" i="4"/>
  <c r="CV54" i="4"/>
  <c r="CV53" i="4"/>
  <c r="CV52" i="4"/>
  <c r="CV51" i="4"/>
  <c r="CV50" i="4"/>
  <c r="CV49" i="4"/>
  <c r="CV48" i="4"/>
  <c r="CV47" i="4"/>
  <c r="CV46" i="4"/>
  <c r="CV45" i="4"/>
  <c r="CV44" i="4"/>
  <c r="CV43" i="4"/>
  <c r="CV42" i="4"/>
  <c r="CV41" i="4"/>
  <c r="CV40" i="4"/>
  <c r="CV39" i="4"/>
  <c r="CV38" i="4"/>
  <c r="CV37" i="4"/>
  <c r="CV36" i="4"/>
  <c r="CV35" i="4"/>
  <c r="CU59" i="4" l="1"/>
  <c r="CU58" i="4"/>
  <c r="CU57" i="4"/>
  <c r="CU56" i="4"/>
  <c r="CU55" i="4"/>
  <c r="CU54" i="4"/>
  <c r="CU53" i="4"/>
  <c r="CU52" i="4"/>
  <c r="CU51" i="4"/>
  <c r="CU50" i="4"/>
  <c r="CU49" i="4"/>
  <c r="CU48" i="4"/>
  <c r="CU47" i="4"/>
  <c r="CU46" i="4"/>
  <c r="CU45" i="4"/>
  <c r="CU44" i="4"/>
  <c r="CU43" i="4"/>
  <c r="CU42" i="4"/>
  <c r="CU41" i="4"/>
  <c r="CU40" i="4"/>
  <c r="CU39" i="4"/>
  <c r="CU38" i="4"/>
  <c r="CU37" i="4"/>
  <c r="CU36" i="4"/>
  <c r="CU35" i="4"/>
  <c r="CT59" i="4" l="1"/>
  <c r="CT58" i="4"/>
  <c r="CT57" i="4"/>
  <c r="CT56" i="4"/>
  <c r="CT55" i="4"/>
  <c r="CT54" i="4"/>
  <c r="CT53" i="4"/>
  <c r="CT52" i="4"/>
  <c r="CT51" i="4"/>
  <c r="CT50" i="4"/>
  <c r="CT49" i="4"/>
  <c r="CT48" i="4"/>
  <c r="CT47" i="4"/>
  <c r="CT46" i="4"/>
  <c r="CT45" i="4"/>
  <c r="CT44" i="4"/>
  <c r="CT43" i="4"/>
  <c r="CT42" i="4"/>
  <c r="CT41" i="4"/>
  <c r="CT40" i="4"/>
  <c r="CT39" i="4"/>
  <c r="CT38" i="4"/>
  <c r="CT37" i="4"/>
  <c r="CT36" i="4"/>
  <c r="CT35" i="4"/>
  <c r="CS59" i="4" l="1"/>
  <c r="CS58" i="4"/>
  <c r="CS57" i="4"/>
  <c r="CS56" i="4"/>
  <c r="CS55" i="4"/>
  <c r="CS54" i="4"/>
  <c r="CS53" i="4"/>
  <c r="CS52" i="4"/>
  <c r="CS51" i="4"/>
  <c r="CS50" i="4"/>
  <c r="CS49" i="4"/>
  <c r="CS48" i="4"/>
  <c r="CS47" i="4"/>
  <c r="CS46" i="4"/>
  <c r="CS45" i="4"/>
  <c r="CS44" i="4"/>
  <c r="CS43" i="4"/>
  <c r="CS42" i="4"/>
  <c r="CS41" i="4"/>
  <c r="CS40" i="4"/>
  <c r="CS39" i="4"/>
  <c r="CS38" i="4"/>
  <c r="CS37" i="4"/>
  <c r="CS36" i="4"/>
  <c r="CS35" i="4"/>
  <c r="CQ59" i="4" l="1"/>
  <c r="CQ58" i="4"/>
  <c r="CQ57" i="4"/>
  <c r="CQ56" i="4"/>
  <c r="CQ55" i="4"/>
  <c r="CQ54" i="4"/>
  <c r="CQ53" i="4"/>
  <c r="CQ52" i="4"/>
  <c r="CQ51" i="4"/>
  <c r="CQ50" i="4"/>
  <c r="CQ49" i="4"/>
  <c r="CQ48" i="4"/>
  <c r="CQ47" i="4"/>
  <c r="CQ46" i="4"/>
  <c r="CQ45" i="4"/>
  <c r="CQ44" i="4"/>
  <c r="CQ43" i="4"/>
  <c r="CQ42" i="4"/>
  <c r="CQ41" i="4"/>
  <c r="CQ40" i="4"/>
  <c r="CQ39" i="4"/>
  <c r="CQ38" i="4"/>
  <c r="CQ37" i="4"/>
  <c r="CQ36" i="4"/>
  <c r="CQ35" i="4"/>
  <c r="BV55" i="4"/>
  <c r="BW55" i="4"/>
  <c r="BX55" i="4"/>
  <c r="BY55" i="4"/>
  <c r="BZ55" i="4"/>
  <c r="CA55" i="4"/>
  <c r="CB55" i="4"/>
  <c r="CC55" i="4"/>
  <c r="CD55" i="4"/>
  <c r="CE55" i="4"/>
  <c r="CF55" i="4"/>
  <c r="CG55" i="4"/>
  <c r="CH55" i="4"/>
  <c r="CI55" i="4"/>
  <c r="CJ55" i="4"/>
  <c r="CK55" i="4"/>
  <c r="CL55" i="4"/>
  <c r="CM55" i="4"/>
  <c r="CN55" i="4"/>
  <c r="CO55" i="4"/>
  <c r="CP55" i="4"/>
  <c r="CR55" i="4"/>
  <c r="BV56" i="4"/>
  <c r="BW56" i="4"/>
  <c r="BX56" i="4"/>
  <c r="BY56" i="4"/>
  <c r="BZ56" i="4"/>
  <c r="CA56" i="4"/>
  <c r="CB56" i="4"/>
  <c r="CC56" i="4"/>
  <c r="CD56" i="4"/>
  <c r="CE56" i="4"/>
  <c r="CF56" i="4"/>
  <c r="CG56" i="4"/>
  <c r="CH56" i="4"/>
  <c r="CI56" i="4"/>
  <c r="CJ56" i="4"/>
  <c r="CK56" i="4"/>
  <c r="CL56" i="4"/>
  <c r="CM56" i="4"/>
  <c r="CN56" i="4"/>
  <c r="CO56" i="4"/>
  <c r="CP56" i="4"/>
  <c r="CR56" i="4"/>
  <c r="BV57" i="4"/>
  <c r="BW57" i="4"/>
  <c r="BX57" i="4"/>
  <c r="BY57" i="4"/>
  <c r="BZ57" i="4"/>
  <c r="CA57" i="4"/>
  <c r="CB57" i="4"/>
  <c r="CC57" i="4"/>
  <c r="CD57" i="4"/>
  <c r="CE57" i="4"/>
  <c r="CF57" i="4"/>
  <c r="CG57" i="4"/>
  <c r="CH57" i="4"/>
  <c r="CI57" i="4"/>
  <c r="CJ57" i="4"/>
  <c r="CK57" i="4"/>
  <c r="CL57" i="4"/>
  <c r="CM57" i="4"/>
  <c r="CN57" i="4"/>
  <c r="CO57" i="4"/>
  <c r="CP57" i="4"/>
  <c r="CR57" i="4"/>
  <c r="CR59" i="4"/>
  <c r="CR58" i="4"/>
  <c r="CR54" i="4"/>
  <c r="CR53" i="4"/>
  <c r="CR52" i="4"/>
  <c r="CR51" i="4"/>
  <c r="CR50" i="4"/>
  <c r="CR49" i="4"/>
  <c r="CR48" i="4"/>
  <c r="CR47" i="4"/>
  <c r="CR46" i="4"/>
  <c r="CR45" i="4"/>
  <c r="CR44" i="4"/>
  <c r="CR43" i="4"/>
  <c r="CR42" i="4"/>
  <c r="CR41" i="4"/>
  <c r="CR40" i="4"/>
  <c r="CR39" i="4"/>
  <c r="CR38" i="4"/>
  <c r="CR37" i="4"/>
  <c r="CR36" i="4"/>
  <c r="CR35" i="4"/>
  <c r="CP59" i="4" l="1"/>
  <c r="CP58" i="4"/>
  <c r="CP54" i="4"/>
  <c r="CP53" i="4"/>
  <c r="CP52" i="4"/>
  <c r="CP51" i="4"/>
  <c r="CP50" i="4"/>
  <c r="CP49" i="4"/>
  <c r="CP48" i="4"/>
  <c r="CP47" i="4"/>
  <c r="CP46" i="4"/>
  <c r="CP45" i="4"/>
  <c r="CP44" i="4"/>
  <c r="CP43" i="4"/>
  <c r="CP42" i="4"/>
  <c r="CP41" i="4"/>
  <c r="CP40" i="4"/>
  <c r="CP39" i="4"/>
  <c r="CP38" i="4"/>
  <c r="CP37" i="4"/>
  <c r="CP36" i="4"/>
  <c r="CP35" i="4"/>
  <c r="CO59" i="4" l="1"/>
  <c r="CO58" i="4"/>
  <c r="CO54" i="4"/>
  <c r="CO53" i="4"/>
  <c r="CO52" i="4"/>
  <c r="CO51" i="4"/>
  <c r="CO50" i="4"/>
  <c r="CO49" i="4"/>
  <c r="CO48" i="4"/>
  <c r="CO47" i="4"/>
  <c r="CO46" i="4"/>
  <c r="CO45" i="4"/>
  <c r="CO44" i="4"/>
  <c r="CO43" i="4"/>
  <c r="CO42" i="4"/>
  <c r="CO41" i="4"/>
  <c r="CO40" i="4"/>
  <c r="CO39" i="4"/>
  <c r="CO38" i="4"/>
  <c r="CO37" i="4"/>
  <c r="CO36" i="4"/>
  <c r="CO35" i="4"/>
  <c r="CN59" i="4" l="1"/>
  <c r="CN58" i="4"/>
  <c r="CN54" i="4"/>
  <c r="CN53" i="4"/>
  <c r="CN52" i="4"/>
  <c r="CN51" i="4"/>
  <c r="CN50" i="4"/>
  <c r="CN49" i="4"/>
  <c r="CN48" i="4"/>
  <c r="CN47" i="4"/>
  <c r="CN46" i="4"/>
  <c r="CN45" i="4"/>
  <c r="CN44" i="4"/>
  <c r="CN43" i="4"/>
  <c r="CN42" i="4"/>
  <c r="CN41" i="4"/>
  <c r="CN40" i="4"/>
  <c r="CN39" i="4"/>
  <c r="CN38" i="4"/>
  <c r="CN37" i="4"/>
  <c r="CN36" i="4"/>
  <c r="CN35" i="4"/>
  <c r="CM59" i="4" l="1"/>
  <c r="CM58" i="4"/>
  <c r="CM54" i="4"/>
  <c r="CM53" i="4"/>
  <c r="CM52" i="4"/>
  <c r="CM51" i="4"/>
  <c r="CM50" i="4"/>
  <c r="CM49" i="4"/>
  <c r="CM48" i="4"/>
  <c r="CM47" i="4"/>
  <c r="CM46" i="4"/>
  <c r="CM45" i="4"/>
  <c r="CM44" i="4"/>
  <c r="CM43" i="4"/>
  <c r="CM42" i="4"/>
  <c r="CM41" i="4"/>
  <c r="CM40" i="4"/>
  <c r="CM39" i="4"/>
  <c r="CM38" i="4"/>
  <c r="CM37" i="4"/>
  <c r="CM36" i="4"/>
  <c r="CM35" i="4"/>
  <c r="CL59" i="4" l="1"/>
  <c r="CL58" i="4"/>
  <c r="CL54" i="4"/>
  <c r="CL53" i="4"/>
  <c r="CL52" i="4"/>
  <c r="CL51" i="4"/>
  <c r="CL50" i="4"/>
  <c r="CL49" i="4"/>
  <c r="CL48" i="4"/>
  <c r="CL47" i="4"/>
  <c r="CL46" i="4"/>
  <c r="CL45" i="4"/>
  <c r="CL44" i="4"/>
  <c r="CL43" i="4"/>
  <c r="CL42" i="4"/>
  <c r="CL41" i="4"/>
  <c r="CL40" i="4"/>
  <c r="CL39" i="4"/>
  <c r="CL38" i="4"/>
  <c r="CL37" i="4"/>
  <c r="CL36" i="4"/>
  <c r="CL35" i="4"/>
  <c r="CK59" i="4" l="1"/>
  <c r="CK58" i="4"/>
  <c r="CK54" i="4"/>
  <c r="CK53" i="4"/>
  <c r="CK52" i="4"/>
  <c r="CK51" i="4"/>
  <c r="CK50" i="4"/>
  <c r="CK49" i="4"/>
  <c r="CK48" i="4"/>
  <c r="CK47" i="4"/>
  <c r="CK46" i="4"/>
  <c r="CK45" i="4"/>
  <c r="CK44" i="4"/>
  <c r="CK43" i="4"/>
  <c r="CK42" i="4"/>
  <c r="CK41" i="4"/>
  <c r="CK40" i="4"/>
  <c r="CK39" i="4"/>
  <c r="CK38" i="4"/>
  <c r="CK37" i="4"/>
  <c r="CK36" i="4"/>
  <c r="CK35" i="4"/>
  <c r="CJ59" i="4" l="1"/>
  <c r="CJ58" i="4"/>
  <c r="CJ54" i="4"/>
  <c r="CJ53" i="4"/>
  <c r="CJ52" i="4"/>
  <c r="CJ51" i="4"/>
  <c r="CJ50" i="4"/>
  <c r="CJ49" i="4"/>
  <c r="CJ48" i="4"/>
  <c r="CJ47" i="4"/>
  <c r="CJ46" i="4"/>
  <c r="CJ45" i="4"/>
  <c r="CJ44" i="4"/>
  <c r="CJ43" i="4"/>
  <c r="CJ42" i="4"/>
  <c r="CJ41" i="4"/>
  <c r="CJ40" i="4"/>
  <c r="CJ39" i="4"/>
  <c r="CJ38" i="4"/>
  <c r="CJ37" i="4"/>
  <c r="CJ36" i="4"/>
  <c r="CJ35" i="4"/>
  <c r="CI59" i="4" l="1"/>
  <c r="CI58" i="4"/>
  <c r="CI54" i="4"/>
  <c r="CI53" i="4"/>
  <c r="CI52" i="4"/>
  <c r="CI51" i="4"/>
  <c r="CI50" i="4"/>
  <c r="CI49" i="4"/>
  <c r="CI48" i="4"/>
  <c r="CI47" i="4"/>
  <c r="CI46" i="4"/>
  <c r="CI45" i="4"/>
  <c r="CI44" i="4"/>
  <c r="CI43" i="4"/>
  <c r="CI42" i="4"/>
  <c r="CI41" i="4"/>
  <c r="CI40" i="4"/>
  <c r="CI39" i="4"/>
  <c r="CI38" i="4"/>
  <c r="CI37" i="4"/>
  <c r="CI36" i="4"/>
  <c r="CI35" i="4"/>
  <c r="CH59" i="4" l="1"/>
  <c r="CH58" i="4"/>
  <c r="CH54" i="4"/>
  <c r="CH53" i="4"/>
  <c r="CH52" i="4"/>
  <c r="CH51" i="4"/>
  <c r="CH50" i="4"/>
  <c r="CH49" i="4"/>
  <c r="CH48" i="4"/>
  <c r="CH47" i="4"/>
  <c r="CH46" i="4"/>
  <c r="CH45" i="4"/>
  <c r="CH44" i="4"/>
  <c r="CH43" i="4"/>
  <c r="CH42" i="4"/>
  <c r="CH41" i="4"/>
  <c r="CH40" i="4"/>
  <c r="CH39" i="4"/>
  <c r="CH38" i="4"/>
  <c r="CH37" i="4"/>
  <c r="CH36" i="4"/>
  <c r="CH35" i="4"/>
  <c r="CG59" i="4" l="1"/>
  <c r="CG58" i="4"/>
  <c r="CG54" i="4"/>
  <c r="CG53" i="4"/>
  <c r="CG52" i="4"/>
  <c r="CG51" i="4"/>
  <c r="CG50" i="4"/>
  <c r="CG49" i="4"/>
  <c r="CG48" i="4"/>
  <c r="CG47" i="4"/>
  <c r="CG46" i="4"/>
  <c r="CG45" i="4"/>
  <c r="CG44" i="4"/>
  <c r="CG43" i="4"/>
  <c r="CG42" i="4"/>
  <c r="CG41" i="4"/>
  <c r="CG40" i="4"/>
  <c r="CG39" i="4"/>
  <c r="CG38" i="4"/>
  <c r="CG37" i="4"/>
  <c r="CG36" i="4"/>
  <c r="CG35" i="4"/>
  <c r="CF59" i="4" l="1"/>
  <c r="CF58" i="4"/>
  <c r="CF54" i="4"/>
  <c r="CF53" i="4"/>
  <c r="CF52" i="4"/>
  <c r="CF51" i="4"/>
  <c r="CF50" i="4"/>
  <c r="CF49" i="4"/>
  <c r="CF48" i="4"/>
  <c r="CF47" i="4"/>
  <c r="CF46" i="4"/>
  <c r="CF45" i="4"/>
  <c r="CF44" i="4"/>
  <c r="CF43" i="4"/>
  <c r="CF42" i="4"/>
  <c r="CF41" i="4"/>
  <c r="CF40" i="4"/>
  <c r="CF39" i="4"/>
  <c r="CF38" i="4"/>
  <c r="CF37" i="4"/>
  <c r="CF36" i="4"/>
  <c r="CF35" i="4"/>
  <c r="CE59" i="4" l="1"/>
  <c r="CE58" i="4"/>
  <c r="CE54" i="4"/>
  <c r="CE53" i="4"/>
  <c r="CE52" i="4"/>
  <c r="CE51" i="4"/>
  <c r="CE50" i="4"/>
  <c r="CE49" i="4"/>
  <c r="CE48" i="4"/>
  <c r="CE47" i="4"/>
  <c r="CE46" i="4"/>
  <c r="CE45" i="4"/>
  <c r="CE44" i="4"/>
  <c r="CE43" i="4"/>
  <c r="CE42" i="4"/>
  <c r="CE41" i="4"/>
  <c r="CE40" i="4"/>
  <c r="CE39" i="4"/>
  <c r="CE38" i="4"/>
  <c r="CE37" i="4"/>
  <c r="CE36" i="4"/>
  <c r="CE35" i="4"/>
  <c r="CD59" i="4" l="1"/>
  <c r="CD58" i="4"/>
  <c r="CD54" i="4"/>
  <c r="CD53" i="4"/>
  <c r="CD52" i="4"/>
  <c r="CD51" i="4"/>
  <c r="CD50" i="4"/>
  <c r="CD49" i="4"/>
  <c r="CD48" i="4"/>
  <c r="CD47" i="4"/>
  <c r="CD46" i="4"/>
  <c r="CD45" i="4"/>
  <c r="CD44" i="4"/>
  <c r="CD43" i="4"/>
  <c r="CD42" i="4"/>
  <c r="CD41" i="4"/>
  <c r="CD40" i="4"/>
  <c r="CD39" i="4"/>
  <c r="CD38" i="4"/>
  <c r="CD37" i="4"/>
  <c r="CD36" i="4"/>
  <c r="CD35" i="4"/>
  <c r="CC59" i="4"/>
  <c r="CC58" i="4"/>
  <c r="CC54" i="4"/>
  <c r="CC53" i="4"/>
  <c r="CC52" i="4"/>
  <c r="CC51" i="4"/>
  <c r="CC50" i="4"/>
  <c r="CC49" i="4"/>
  <c r="CC48" i="4"/>
  <c r="CC47" i="4"/>
  <c r="CC46" i="4"/>
  <c r="CC45" i="4"/>
  <c r="CC44" i="4"/>
  <c r="CC43" i="4"/>
  <c r="CC42" i="4"/>
  <c r="CC41" i="4"/>
  <c r="CC40" i="4"/>
  <c r="CC39" i="4"/>
  <c r="CC38" i="4"/>
  <c r="CC37" i="4"/>
  <c r="CC36" i="4"/>
  <c r="CC35" i="4"/>
  <c r="CB59" i="4" l="1"/>
  <c r="CB58" i="4"/>
  <c r="CB54" i="4"/>
  <c r="CB53" i="4"/>
  <c r="CB52" i="4"/>
  <c r="CB51" i="4"/>
  <c r="CB50" i="4"/>
  <c r="CB49" i="4"/>
  <c r="CB48" i="4"/>
  <c r="CB47" i="4"/>
  <c r="CB46" i="4"/>
  <c r="CB45" i="4"/>
  <c r="CB44" i="4"/>
  <c r="CB43" i="4"/>
  <c r="CB42" i="4"/>
  <c r="CB41" i="4"/>
  <c r="CB40" i="4"/>
  <c r="CB39" i="4"/>
  <c r="CB38" i="4"/>
  <c r="CB37" i="4"/>
  <c r="CB36" i="4"/>
  <c r="CB35" i="4"/>
  <c r="CA59" i="4" l="1"/>
  <c r="CA58" i="4"/>
  <c r="CA54" i="4"/>
  <c r="CA53" i="4"/>
  <c r="CA52" i="4"/>
  <c r="CA51" i="4"/>
  <c r="CA50" i="4"/>
  <c r="CA49" i="4"/>
  <c r="CA48" i="4"/>
  <c r="CA47" i="4"/>
  <c r="CA46" i="4"/>
  <c r="CA45" i="4"/>
  <c r="CA44" i="4"/>
  <c r="CA43" i="4"/>
  <c r="CA42" i="4"/>
  <c r="CA41" i="4"/>
  <c r="CA40" i="4"/>
  <c r="CA39" i="4"/>
  <c r="CA38" i="4"/>
  <c r="CA37" i="4"/>
  <c r="CA36" i="4"/>
  <c r="CA35" i="4"/>
  <c r="BZ59" i="4" l="1"/>
  <c r="BZ58" i="4"/>
  <c r="BZ54" i="4"/>
  <c r="BZ53" i="4"/>
  <c r="BZ52" i="4"/>
  <c r="BZ51" i="4"/>
  <c r="BZ50" i="4"/>
  <c r="BZ49" i="4"/>
  <c r="BZ48" i="4"/>
  <c r="BZ47" i="4"/>
  <c r="BZ46" i="4"/>
  <c r="BZ45" i="4"/>
  <c r="BZ44" i="4"/>
  <c r="BZ43" i="4"/>
  <c r="BZ42" i="4"/>
  <c r="BZ41" i="4"/>
  <c r="BZ40" i="4"/>
  <c r="BZ39" i="4"/>
  <c r="BZ38" i="4"/>
  <c r="BZ37" i="4"/>
  <c r="BZ36" i="4"/>
  <c r="BZ35" i="4"/>
  <c r="BY59" i="4" l="1"/>
  <c r="BY58" i="4"/>
  <c r="BY54" i="4"/>
  <c r="BY53" i="4"/>
  <c r="BY52" i="4"/>
  <c r="BY51" i="4"/>
  <c r="BY50" i="4"/>
  <c r="BY49" i="4"/>
  <c r="BY48" i="4"/>
  <c r="BY47" i="4"/>
  <c r="BY46" i="4"/>
  <c r="BY45" i="4"/>
  <c r="BY44" i="4"/>
  <c r="BY43" i="4"/>
  <c r="BY42" i="4"/>
  <c r="BY41" i="4"/>
  <c r="BY40" i="4"/>
  <c r="BY39" i="4"/>
  <c r="BY38" i="4"/>
  <c r="BY37" i="4"/>
  <c r="BY36" i="4"/>
  <c r="BY35" i="4"/>
  <c r="BX59" i="4" l="1"/>
  <c r="BX58" i="4"/>
  <c r="BX54" i="4"/>
  <c r="BX53" i="4"/>
  <c r="BX52" i="4"/>
  <c r="BX51" i="4"/>
  <c r="BX50" i="4"/>
  <c r="BX49" i="4"/>
  <c r="BX48" i="4"/>
  <c r="BX47" i="4"/>
  <c r="BX46" i="4"/>
  <c r="BX45" i="4"/>
  <c r="BX44" i="4"/>
  <c r="BX43" i="4"/>
  <c r="BX42" i="4"/>
  <c r="BX41" i="4"/>
  <c r="BX40" i="4"/>
  <c r="BX39" i="4"/>
  <c r="BX38" i="4"/>
  <c r="BX37" i="4"/>
  <c r="BX36" i="4"/>
  <c r="BX35" i="4"/>
  <c r="BV35" i="4" l="1"/>
  <c r="BV59" i="4"/>
  <c r="BV58" i="4"/>
  <c r="BV54" i="4"/>
  <c r="BV53" i="4"/>
  <c r="BV52" i="4"/>
  <c r="BV51" i="4"/>
  <c r="BV50" i="4"/>
  <c r="BV49" i="4"/>
  <c r="BV48" i="4"/>
  <c r="BV47" i="4"/>
  <c r="BV46" i="4"/>
  <c r="BV45" i="4"/>
  <c r="BV44" i="4"/>
  <c r="BV43" i="4"/>
  <c r="BV42" i="4"/>
  <c r="BV41" i="4"/>
  <c r="BV40" i="4"/>
  <c r="BV39" i="4"/>
  <c r="BV38" i="4"/>
  <c r="BV37" i="4"/>
  <c r="BV36" i="4"/>
  <c r="BW59" i="4"/>
  <c r="BW58" i="4"/>
  <c r="BW54" i="4"/>
  <c r="BW53" i="4"/>
  <c r="BW52" i="4"/>
  <c r="BW51" i="4"/>
  <c r="BW50" i="4"/>
  <c r="BW49" i="4"/>
  <c r="BW48" i="4"/>
  <c r="BW47" i="4"/>
  <c r="BW46" i="4"/>
  <c r="BW45" i="4"/>
  <c r="BW44" i="4"/>
  <c r="BW43" i="4"/>
  <c r="BW42" i="4"/>
  <c r="BW41" i="4"/>
  <c r="BW40" i="4"/>
  <c r="BW39" i="4"/>
  <c r="BW38" i="4"/>
  <c r="BW37" i="4"/>
  <c r="BW36" i="4"/>
  <c r="BW35" i="4"/>
  <c r="BU59" i="4" l="1"/>
  <c r="BU58" i="4"/>
  <c r="BU57" i="4"/>
  <c r="BU54" i="4"/>
  <c r="BU53" i="4"/>
  <c r="BU52" i="4"/>
  <c r="BU51" i="4"/>
  <c r="BU50" i="4"/>
  <c r="BU49" i="4"/>
  <c r="BU48" i="4"/>
  <c r="BU47" i="4"/>
  <c r="BU46" i="4"/>
  <c r="BU45" i="4"/>
  <c r="BU44" i="4"/>
  <c r="BU43" i="4"/>
  <c r="BU42" i="4"/>
  <c r="BU41" i="4"/>
  <c r="BU40" i="4"/>
  <c r="BU39" i="4"/>
  <c r="BU38" i="4"/>
  <c r="BU37" i="4"/>
  <c r="BU36" i="4"/>
  <c r="BU35" i="4"/>
  <c r="BT59" i="4" l="1"/>
  <c r="BT58" i="4"/>
  <c r="BT57" i="4"/>
  <c r="BT54" i="4"/>
  <c r="BT53" i="4"/>
  <c r="BT52" i="4"/>
  <c r="BT51" i="4"/>
  <c r="BT50" i="4"/>
  <c r="BT49" i="4"/>
  <c r="BT48" i="4"/>
  <c r="BT47" i="4"/>
  <c r="BT46" i="4"/>
  <c r="BT45" i="4"/>
  <c r="BT44" i="4"/>
  <c r="BT43" i="4"/>
  <c r="BT42" i="4"/>
  <c r="BT41" i="4"/>
  <c r="BT40" i="4"/>
  <c r="BT39" i="4"/>
  <c r="BT38" i="4"/>
  <c r="BT37" i="4"/>
  <c r="BT36" i="4"/>
  <c r="BT35" i="4"/>
  <c r="BS59" i="4" l="1"/>
  <c r="BS58" i="4"/>
  <c r="BS57" i="4"/>
  <c r="BS54" i="4"/>
  <c r="BS53" i="4"/>
  <c r="BS52" i="4"/>
  <c r="BS51" i="4"/>
  <c r="BS50" i="4"/>
  <c r="BS49" i="4"/>
  <c r="BS48" i="4"/>
  <c r="BS47" i="4"/>
  <c r="BS46" i="4"/>
  <c r="BS45" i="4"/>
  <c r="BS44" i="4"/>
  <c r="BS43" i="4"/>
  <c r="BS42" i="4"/>
  <c r="BS41" i="4"/>
  <c r="BS40" i="4"/>
  <c r="BS39" i="4"/>
  <c r="BS38" i="4"/>
  <c r="BS37" i="4"/>
  <c r="BS36" i="4"/>
  <c r="BS35" i="4"/>
  <c r="BR59" i="4" l="1"/>
  <c r="BR58" i="4"/>
  <c r="BR57" i="4"/>
  <c r="BR54" i="4"/>
  <c r="BR53" i="4"/>
  <c r="BR52" i="4"/>
  <c r="BR51" i="4"/>
  <c r="BR50" i="4"/>
  <c r="BR49" i="4"/>
  <c r="BR48" i="4"/>
  <c r="BR47" i="4"/>
  <c r="BR46" i="4"/>
  <c r="BR45" i="4"/>
  <c r="BR44" i="4"/>
  <c r="BR43" i="4"/>
  <c r="BR42" i="4"/>
  <c r="BR41" i="4"/>
  <c r="BR40" i="4"/>
  <c r="BR39" i="4"/>
  <c r="BR38" i="4"/>
  <c r="BR37" i="4"/>
  <c r="BR36" i="4"/>
  <c r="BR35" i="4"/>
  <c r="BQ59" i="4" l="1"/>
  <c r="BQ58" i="4"/>
  <c r="BQ57" i="4"/>
  <c r="BQ54" i="4"/>
  <c r="BQ53" i="4"/>
  <c r="BQ52" i="4"/>
  <c r="BQ51" i="4"/>
  <c r="BQ50" i="4"/>
  <c r="BQ49" i="4"/>
  <c r="BQ48" i="4"/>
  <c r="BQ47" i="4"/>
  <c r="BQ46" i="4"/>
  <c r="BQ45" i="4"/>
  <c r="BQ44" i="4"/>
  <c r="BQ43" i="4"/>
  <c r="BQ42" i="4"/>
  <c r="BQ41" i="4"/>
  <c r="BQ40" i="4"/>
  <c r="BQ39" i="4"/>
  <c r="BQ38" i="4"/>
  <c r="BQ37" i="4"/>
  <c r="BQ36" i="4"/>
  <c r="BQ35" i="4"/>
  <c r="BP59" i="4" l="1"/>
  <c r="BP58" i="4"/>
  <c r="BP57" i="4"/>
  <c r="BP54" i="4"/>
  <c r="BP53" i="4"/>
  <c r="BP52" i="4"/>
  <c r="BP51" i="4"/>
  <c r="BP50" i="4"/>
  <c r="BP49" i="4"/>
  <c r="BP48" i="4"/>
  <c r="BP47" i="4"/>
  <c r="BP46" i="4"/>
  <c r="BP45" i="4"/>
  <c r="BP44" i="4"/>
  <c r="BP43" i="4"/>
  <c r="BP42" i="4"/>
  <c r="BP41" i="4"/>
  <c r="BP40" i="4"/>
  <c r="BP39" i="4"/>
  <c r="BP38" i="4"/>
  <c r="BP37" i="4"/>
  <c r="BP36" i="4"/>
  <c r="BP35" i="4"/>
  <c r="BO59" i="4" l="1"/>
  <c r="BO58" i="4"/>
  <c r="BO57" i="4"/>
  <c r="BO54" i="4"/>
  <c r="BO53" i="4"/>
  <c r="BO52" i="4"/>
  <c r="BO51" i="4"/>
  <c r="BO50" i="4"/>
  <c r="BO49" i="4"/>
  <c r="BO48" i="4"/>
  <c r="BO47" i="4"/>
  <c r="BO46" i="4"/>
  <c r="BO45" i="4"/>
  <c r="BO44" i="4"/>
  <c r="BO43" i="4"/>
  <c r="BO42" i="4"/>
  <c r="BO41" i="4"/>
  <c r="BO40" i="4"/>
  <c r="BO39" i="4"/>
  <c r="BO38" i="4"/>
  <c r="BO37" i="4"/>
  <c r="BO36" i="4"/>
  <c r="BO35" i="4"/>
  <c r="BN59" i="4" l="1"/>
  <c r="BN58" i="4"/>
  <c r="BN57" i="4"/>
  <c r="BN54" i="4"/>
  <c r="BN53" i="4"/>
  <c r="BN52" i="4"/>
  <c r="BN51" i="4"/>
  <c r="BN50" i="4"/>
  <c r="BN49" i="4"/>
  <c r="BN48" i="4"/>
  <c r="BN47" i="4"/>
  <c r="BN46" i="4"/>
  <c r="BN45" i="4"/>
  <c r="BN44" i="4"/>
  <c r="BN43" i="4"/>
  <c r="BN42" i="4"/>
  <c r="BN41" i="4"/>
  <c r="BN40" i="4"/>
  <c r="BN39" i="4"/>
  <c r="BN38" i="4"/>
  <c r="BN37" i="4"/>
  <c r="BN36" i="4"/>
  <c r="BN35" i="4"/>
  <c r="BM59" i="4" l="1"/>
  <c r="BM58" i="4"/>
  <c r="BM57" i="4"/>
  <c r="BM54" i="4"/>
  <c r="BM53" i="4"/>
  <c r="BM52" i="4"/>
  <c r="BM51" i="4"/>
  <c r="BM50" i="4"/>
  <c r="BM49" i="4"/>
  <c r="BM48" i="4"/>
  <c r="BM47" i="4"/>
  <c r="BM46" i="4"/>
  <c r="BM45" i="4"/>
  <c r="BM44" i="4"/>
  <c r="BM43" i="4"/>
  <c r="BM42" i="4"/>
  <c r="BM41" i="4"/>
  <c r="BM40" i="4"/>
  <c r="BM39" i="4"/>
  <c r="BM38" i="4"/>
  <c r="BM37" i="4"/>
  <c r="BM36" i="4"/>
  <c r="BM35" i="4"/>
  <c r="BL59" i="4" l="1"/>
  <c r="BL58" i="4"/>
  <c r="BL57" i="4"/>
  <c r="BL54" i="4"/>
  <c r="BL53" i="4"/>
  <c r="BL52" i="4"/>
  <c r="BL51" i="4"/>
  <c r="BL50" i="4"/>
  <c r="BL49" i="4"/>
  <c r="BL48" i="4"/>
  <c r="BL47" i="4"/>
  <c r="BL46" i="4"/>
  <c r="BL45" i="4"/>
  <c r="BL44" i="4"/>
  <c r="BL43" i="4"/>
  <c r="BL42" i="4"/>
  <c r="BL41" i="4"/>
  <c r="BL40" i="4"/>
  <c r="BL39" i="4"/>
  <c r="BL38" i="4"/>
  <c r="BL37" i="4"/>
  <c r="BL36" i="4"/>
  <c r="BL35" i="4"/>
  <c r="BK59" i="4" l="1"/>
  <c r="BK58" i="4"/>
  <c r="BK57" i="4"/>
  <c r="BK54" i="4"/>
  <c r="BK53" i="4"/>
  <c r="BK52" i="4"/>
  <c r="BK51" i="4"/>
  <c r="BK50" i="4"/>
  <c r="BK49" i="4"/>
  <c r="BK48" i="4"/>
  <c r="BK47" i="4"/>
  <c r="BK46" i="4"/>
  <c r="BK45" i="4"/>
  <c r="BK44" i="4"/>
  <c r="BK43" i="4"/>
  <c r="BK42" i="4"/>
  <c r="BK41" i="4"/>
  <c r="BK40" i="4"/>
  <c r="BK39" i="4"/>
  <c r="BK38" i="4"/>
  <c r="BK37" i="4"/>
  <c r="BK36" i="4"/>
  <c r="BK35" i="4"/>
  <c r="BJ59" i="4" l="1"/>
  <c r="BJ58" i="4"/>
  <c r="BJ57" i="4"/>
  <c r="BJ54" i="4"/>
  <c r="BJ53" i="4"/>
  <c r="BJ52" i="4"/>
  <c r="BJ51" i="4"/>
  <c r="BJ50" i="4"/>
  <c r="BJ49" i="4"/>
  <c r="BJ48" i="4"/>
  <c r="BJ47" i="4"/>
  <c r="BJ46" i="4"/>
  <c r="BJ45" i="4"/>
  <c r="BJ44" i="4"/>
  <c r="BJ43" i="4"/>
  <c r="BJ42" i="4"/>
  <c r="BJ41" i="4"/>
  <c r="BJ40" i="4"/>
  <c r="BJ39" i="4"/>
  <c r="BJ38" i="4"/>
  <c r="BJ37" i="4"/>
  <c r="BJ36" i="4"/>
  <c r="BJ35" i="4"/>
  <c r="BI59" i="4" l="1"/>
  <c r="BI58" i="4"/>
  <c r="BI57" i="4"/>
  <c r="BI54" i="4"/>
  <c r="BI53" i="4"/>
  <c r="BI52" i="4"/>
  <c r="BI51" i="4"/>
  <c r="BI50" i="4"/>
  <c r="BI49" i="4"/>
  <c r="BI48" i="4"/>
  <c r="BI47" i="4"/>
  <c r="BI46" i="4"/>
  <c r="BI45" i="4"/>
  <c r="BI44" i="4"/>
  <c r="BI43" i="4"/>
  <c r="BI42" i="4"/>
  <c r="BI41" i="4"/>
  <c r="BI40" i="4"/>
  <c r="BI39" i="4"/>
  <c r="BI38" i="4"/>
  <c r="BI37" i="4"/>
  <c r="BI36" i="4"/>
  <c r="BI35" i="4"/>
  <c r="BH59" i="4" l="1"/>
  <c r="BH58" i="4"/>
  <c r="BH57" i="4"/>
  <c r="BH54" i="4"/>
  <c r="BH53" i="4"/>
  <c r="BH52" i="4"/>
  <c r="BH51" i="4"/>
  <c r="BH50" i="4"/>
  <c r="BH49" i="4"/>
  <c r="BH48" i="4"/>
  <c r="BH47" i="4"/>
  <c r="BH46" i="4"/>
  <c r="BH45" i="4"/>
  <c r="BH44" i="4"/>
  <c r="BH43" i="4"/>
  <c r="BH42" i="4"/>
  <c r="BH41" i="4"/>
  <c r="BH40" i="4"/>
  <c r="BH39" i="4"/>
  <c r="BH38" i="4"/>
  <c r="BH37" i="4"/>
  <c r="BH36" i="4"/>
  <c r="BH35" i="4"/>
  <c r="BG59" i="4" l="1"/>
  <c r="BG58" i="4"/>
  <c r="BG57" i="4"/>
  <c r="BG54" i="4"/>
  <c r="BG53" i="4"/>
  <c r="BG52" i="4"/>
  <c r="BG51" i="4"/>
  <c r="BG50" i="4"/>
  <c r="BG49" i="4"/>
  <c r="BG48" i="4"/>
  <c r="BG47" i="4"/>
  <c r="BG46" i="4"/>
  <c r="BG45" i="4"/>
  <c r="BG44" i="4"/>
  <c r="BG43" i="4"/>
  <c r="BG42" i="4"/>
  <c r="BG41" i="4"/>
  <c r="BG40" i="4"/>
  <c r="BG39" i="4"/>
  <c r="BG38" i="4"/>
  <c r="BG37" i="4"/>
  <c r="BG36" i="4"/>
  <c r="BG35" i="4"/>
  <c r="BF59" i="4" l="1"/>
  <c r="BF58" i="4"/>
  <c r="BF57" i="4"/>
  <c r="BF54" i="4"/>
  <c r="BF53" i="4"/>
  <c r="BF52" i="4"/>
  <c r="BF51" i="4"/>
  <c r="BF50" i="4"/>
  <c r="BF49" i="4"/>
  <c r="BF48" i="4"/>
  <c r="BF47" i="4"/>
  <c r="BF46" i="4"/>
  <c r="BF45" i="4"/>
  <c r="BF44" i="4"/>
  <c r="BF43" i="4"/>
  <c r="BF42" i="4"/>
  <c r="BF41" i="4"/>
  <c r="BF40" i="4"/>
  <c r="BF39" i="4"/>
  <c r="BF38" i="4"/>
  <c r="BF37" i="4"/>
  <c r="BF36" i="4"/>
  <c r="BF35" i="4"/>
  <c r="BE59" i="4" l="1"/>
  <c r="BE58" i="4"/>
  <c r="BE57" i="4"/>
  <c r="BE54" i="4"/>
  <c r="BE53" i="4"/>
  <c r="BE52" i="4"/>
  <c r="BE51" i="4"/>
  <c r="BE50" i="4"/>
  <c r="BE49" i="4"/>
  <c r="BE48" i="4"/>
  <c r="BE47" i="4"/>
  <c r="BE46" i="4"/>
  <c r="BE45" i="4"/>
  <c r="BE44" i="4"/>
  <c r="BE43" i="4"/>
  <c r="BE42" i="4"/>
  <c r="BE41" i="4"/>
  <c r="BE40" i="4"/>
  <c r="BE39" i="4"/>
  <c r="BE38" i="4"/>
  <c r="BE37" i="4"/>
  <c r="BE36" i="4"/>
  <c r="BE35" i="4"/>
  <c r="BD59" i="4" l="1"/>
  <c r="BD58" i="4"/>
  <c r="BD57" i="4"/>
  <c r="BD54" i="4"/>
  <c r="BD53" i="4"/>
  <c r="BD52" i="4"/>
  <c r="BD51" i="4"/>
  <c r="BD50" i="4"/>
  <c r="BD49" i="4"/>
  <c r="BD48" i="4"/>
  <c r="BD47" i="4"/>
  <c r="BD46" i="4"/>
  <c r="BD45" i="4"/>
  <c r="BD44" i="4"/>
  <c r="BD43" i="4"/>
  <c r="BD42" i="4"/>
  <c r="BD41" i="4"/>
  <c r="BD40" i="4"/>
  <c r="BD39" i="4"/>
  <c r="BD38" i="4"/>
  <c r="BD37" i="4"/>
  <c r="BD36" i="4"/>
  <c r="BD35" i="4"/>
  <c r="BC59" i="4" l="1"/>
  <c r="BC58" i="4"/>
  <c r="BC57" i="4"/>
  <c r="BC54" i="4"/>
  <c r="BC53" i="4"/>
  <c r="BC52" i="4"/>
  <c r="BC51" i="4"/>
  <c r="BC50" i="4"/>
  <c r="BC49" i="4"/>
  <c r="BC48" i="4"/>
  <c r="BC47" i="4"/>
  <c r="BC46" i="4"/>
  <c r="BC45" i="4"/>
  <c r="BC44" i="4"/>
  <c r="BC43" i="4"/>
  <c r="BC42" i="4"/>
  <c r="BC41" i="4"/>
  <c r="BC40" i="4"/>
  <c r="BC39" i="4"/>
  <c r="BC38" i="4"/>
  <c r="BC37" i="4"/>
  <c r="BC36" i="4"/>
  <c r="BC35" i="4"/>
  <c r="BA35" i="4" l="1"/>
  <c r="BA59" i="4"/>
  <c r="BA58" i="4"/>
  <c r="BA57" i="4"/>
  <c r="BA54" i="4"/>
  <c r="BA53" i="4"/>
  <c r="BA52" i="4"/>
  <c r="BA51" i="4"/>
  <c r="BA50" i="4"/>
  <c r="BA49" i="4"/>
  <c r="BA48" i="4"/>
  <c r="BA47" i="4"/>
  <c r="BA46" i="4"/>
  <c r="BA45" i="4"/>
  <c r="BA44" i="4"/>
  <c r="BA43" i="4"/>
  <c r="BA42" i="4"/>
  <c r="BA41" i="4"/>
  <c r="BA40" i="4"/>
  <c r="BA39" i="4"/>
  <c r="BA38" i="4"/>
  <c r="BA37" i="4"/>
  <c r="BA36" i="4"/>
  <c r="BB59" i="4"/>
  <c r="BB58" i="4"/>
  <c r="BB57" i="4"/>
  <c r="BB54" i="4"/>
  <c r="BB53" i="4"/>
  <c r="BB52" i="4"/>
  <c r="BB51" i="4"/>
  <c r="BB50" i="4"/>
  <c r="BB49" i="4"/>
  <c r="BB48" i="4"/>
  <c r="BB47" i="4"/>
  <c r="BB46" i="4"/>
  <c r="BB45" i="4"/>
  <c r="BB44" i="4"/>
  <c r="BB43" i="4"/>
  <c r="BB42" i="4"/>
  <c r="BB41" i="4"/>
  <c r="BB40" i="4"/>
  <c r="BB39" i="4"/>
  <c r="BB38" i="4"/>
  <c r="BB37" i="4"/>
  <c r="BB36" i="4"/>
  <c r="BB35" i="4"/>
  <c r="AZ59" i="4" l="1"/>
  <c r="AZ58" i="4"/>
  <c r="AZ57" i="4"/>
  <c r="AZ54" i="4"/>
  <c r="AZ53" i="4"/>
  <c r="AZ52" i="4"/>
  <c r="AZ51" i="4"/>
  <c r="AZ50" i="4"/>
  <c r="AZ49" i="4"/>
  <c r="AZ48" i="4"/>
  <c r="AZ47" i="4"/>
  <c r="AZ46" i="4"/>
  <c r="AZ45" i="4"/>
  <c r="AZ44" i="4"/>
  <c r="AZ43" i="4"/>
  <c r="AZ42" i="4"/>
  <c r="AZ41" i="4"/>
  <c r="AZ40" i="4"/>
  <c r="AZ39" i="4"/>
  <c r="AZ38" i="4"/>
  <c r="AZ37" i="4"/>
  <c r="AZ36" i="4"/>
  <c r="AZ35" i="4"/>
  <c r="AY59" i="4" l="1"/>
  <c r="AY58" i="4"/>
  <c r="AY57" i="4"/>
  <c r="AY54" i="4"/>
  <c r="AY53" i="4"/>
  <c r="AY52" i="4"/>
  <c r="AY51" i="4"/>
  <c r="AY50" i="4"/>
  <c r="AY49" i="4"/>
  <c r="AY48" i="4"/>
  <c r="AY47" i="4"/>
  <c r="AY46" i="4"/>
  <c r="AY45" i="4"/>
  <c r="AY44" i="4"/>
  <c r="AY43" i="4"/>
  <c r="AY42" i="4"/>
  <c r="AY41" i="4"/>
  <c r="AY40" i="4"/>
  <c r="AY39" i="4"/>
  <c r="AY38" i="4"/>
  <c r="AY37" i="4"/>
  <c r="AY36" i="4"/>
  <c r="AY35" i="4"/>
  <c r="AX59" i="4" l="1"/>
  <c r="AX58" i="4"/>
  <c r="AX57" i="4"/>
  <c r="AX54" i="4"/>
  <c r="AX53" i="4"/>
  <c r="AX52" i="4"/>
  <c r="AX51" i="4"/>
  <c r="AX50" i="4"/>
  <c r="AX49" i="4"/>
  <c r="AX48" i="4"/>
  <c r="AX47" i="4"/>
  <c r="AX46" i="4"/>
  <c r="AX45" i="4"/>
  <c r="AX44" i="4"/>
  <c r="AX43" i="4"/>
  <c r="AX42" i="4"/>
  <c r="AX41" i="4"/>
  <c r="AX40" i="4"/>
  <c r="AX39" i="4"/>
  <c r="AX38" i="4"/>
  <c r="AX37" i="4"/>
  <c r="AX36" i="4"/>
  <c r="AX35" i="4"/>
  <c r="AW59" i="4" l="1"/>
  <c r="AW58" i="4"/>
  <c r="AW57" i="4"/>
  <c r="AW54" i="4"/>
  <c r="AW53" i="4"/>
  <c r="AW52" i="4"/>
  <c r="AW51" i="4"/>
  <c r="AW50" i="4"/>
  <c r="AW49" i="4"/>
  <c r="AW48" i="4"/>
  <c r="AW47" i="4"/>
  <c r="AW46" i="4"/>
  <c r="AW45" i="4"/>
  <c r="AW44" i="4"/>
  <c r="AW43" i="4"/>
  <c r="AW42" i="4"/>
  <c r="AW41" i="4"/>
  <c r="AW40" i="4"/>
  <c r="AW39" i="4"/>
  <c r="AW38" i="4"/>
  <c r="AW37" i="4"/>
  <c r="AW36" i="4"/>
  <c r="AW35" i="4"/>
  <c r="AV59" i="4" l="1"/>
  <c r="AV58" i="4"/>
  <c r="AV57" i="4"/>
  <c r="AV54" i="4"/>
  <c r="AV53" i="4"/>
  <c r="AV52" i="4"/>
  <c r="AV51" i="4"/>
  <c r="AV50" i="4"/>
  <c r="AV49" i="4"/>
  <c r="AV48" i="4"/>
  <c r="AV47" i="4"/>
  <c r="AV46" i="4"/>
  <c r="AV45" i="4"/>
  <c r="AV44" i="4"/>
  <c r="AV43" i="4"/>
  <c r="AV42" i="4"/>
  <c r="AV41" i="4"/>
  <c r="AV40" i="4"/>
  <c r="AV39" i="4"/>
  <c r="AV38" i="4"/>
  <c r="AV37" i="4"/>
  <c r="AV36" i="4"/>
  <c r="AV35" i="4"/>
  <c r="AU59" i="4" l="1"/>
  <c r="AU58" i="4"/>
  <c r="AU57" i="4"/>
  <c r="AU54" i="4"/>
  <c r="AU53" i="4"/>
  <c r="AU52" i="4"/>
  <c r="AU51" i="4"/>
  <c r="AU50" i="4"/>
  <c r="AU49" i="4"/>
  <c r="AU48" i="4"/>
  <c r="AU47" i="4"/>
  <c r="AU46" i="4"/>
  <c r="AU45" i="4"/>
  <c r="AU44" i="4"/>
  <c r="AU43" i="4"/>
  <c r="AU42" i="4"/>
  <c r="AU41" i="4"/>
  <c r="AU40" i="4"/>
  <c r="AU39" i="4"/>
  <c r="AU38" i="4"/>
  <c r="AU37" i="4"/>
  <c r="AU36" i="4"/>
  <c r="AU35" i="4"/>
  <c r="AT59" i="4" l="1"/>
  <c r="AT58" i="4"/>
  <c r="AT57" i="4"/>
  <c r="AT54" i="4"/>
  <c r="AT53" i="4"/>
  <c r="AT52" i="4"/>
  <c r="AT51" i="4"/>
  <c r="AT50" i="4"/>
  <c r="AT49" i="4"/>
  <c r="AT48" i="4"/>
  <c r="AT47" i="4"/>
  <c r="AT46" i="4"/>
  <c r="AT45" i="4"/>
  <c r="AT44" i="4"/>
  <c r="AT43" i="4"/>
  <c r="AT42" i="4"/>
  <c r="AT41" i="4"/>
  <c r="AT40" i="4"/>
  <c r="AT39" i="4"/>
  <c r="AT38" i="4"/>
  <c r="AT37" i="4"/>
  <c r="AT36" i="4"/>
  <c r="AT35" i="4"/>
  <c r="AS59" i="4" l="1"/>
  <c r="AS58" i="4"/>
  <c r="AS57" i="4"/>
  <c r="AS54" i="4"/>
  <c r="AS53" i="4"/>
  <c r="AS52" i="4"/>
  <c r="AS51" i="4"/>
  <c r="AS50" i="4"/>
  <c r="AS49" i="4"/>
  <c r="AS48" i="4"/>
  <c r="AS47" i="4"/>
  <c r="AS46" i="4"/>
  <c r="AS45" i="4"/>
  <c r="AS44" i="4"/>
  <c r="AS43" i="4"/>
  <c r="AS42" i="4"/>
  <c r="AS41" i="4"/>
  <c r="AS40" i="4"/>
  <c r="AS39" i="4"/>
  <c r="AS38" i="4"/>
  <c r="AS37" i="4"/>
  <c r="AS36" i="4"/>
  <c r="AS35" i="4"/>
  <c r="AR59" i="4" l="1"/>
  <c r="AR58" i="4"/>
  <c r="AR57" i="4"/>
  <c r="AR54" i="4"/>
  <c r="AR53" i="4"/>
  <c r="AR52" i="4"/>
  <c r="AR51" i="4"/>
  <c r="AR50" i="4"/>
  <c r="AR49" i="4"/>
  <c r="AR48" i="4"/>
  <c r="AR47" i="4"/>
  <c r="AR46" i="4"/>
  <c r="AR45" i="4"/>
  <c r="AR44" i="4"/>
  <c r="AR43" i="4"/>
  <c r="AR42" i="4"/>
  <c r="AR41" i="4"/>
  <c r="AR40" i="4"/>
  <c r="AR39" i="4"/>
  <c r="AR38" i="4"/>
  <c r="AR37" i="4"/>
  <c r="AR36" i="4"/>
  <c r="AR35" i="4"/>
  <c r="AQ59" i="4" l="1"/>
  <c r="AQ58" i="4"/>
  <c r="AQ57" i="4"/>
  <c r="AQ54" i="4"/>
  <c r="AQ53" i="4"/>
  <c r="AQ52" i="4"/>
  <c r="AQ51" i="4"/>
  <c r="AQ50" i="4"/>
  <c r="AQ49" i="4"/>
  <c r="AQ48" i="4"/>
  <c r="AQ47" i="4"/>
  <c r="AQ46" i="4"/>
  <c r="AQ45" i="4"/>
  <c r="AQ44" i="4"/>
  <c r="AQ43" i="4"/>
  <c r="AQ42" i="4"/>
  <c r="AQ41" i="4"/>
  <c r="AQ40" i="4"/>
  <c r="AQ39" i="4"/>
  <c r="AQ38" i="4"/>
  <c r="AQ37" i="4"/>
  <c r="AQ36" i="4"/>
  <c r="AQ35" i="4"/>
  <c r="AP59" i="4" l="1"/>
  <c r="AP58" i="4"/>
  <c r="AP57" i="4"/>
  <c r="AP54" i="4"/>
  <c r="AP53" i="4"/>
  <c r="AP52" i="4"/>
  <c r="AP51" i="4"/>
  <c r="AP50" i="4"/>
  <c r="AP49" i="4"/>
  <c r="AP48" i="4"/>
  <c r="AP47" i="4"/>
  <c r="AP46" i="4"/>
  <c r="AP45" i="4"/>
  <c r="AP44" i="4"/>
  <c r="AP43" i="4"/>
  <c r="AP42" i="4"/>
  <c r="AP41" i="4"/>
  <c r="AP40" i="4"/>
  <c r="AP39" i="4"/>
  <c r="AP38" i="4"/>
  <c r="AP37" i="4"/>
  <c r="AP36" i="4"/>
  <c r="AP35" i="4"/>
  <c r="AO59" i="4" l="1"/>
  <c r="AO58" i="4"/>
  <c r="AO57" i="4"/>
  <c r="AO54" i="4"/>
  <c r="AO53" i="4"/>
  <c r="AO52" i="4"/>
  <c r="AO51" i="4"/>
  <c r="AO50" i="4"/>
  <c r="AO49" i="4"/>
  <c r="AO48" i="4"/>
  <c r="AO47" i="4"/>
  <c r="AO46" i="4"/>
  <c r="AO45" i="4"/>
  <c r="AO44" i="4"/>
  <c r="AO43" i="4"/>
  <c r="AO42" i="4"/>
  <c r="AO41" i="4"/>
  <c r="AO40" i="4"/>
  <c r="AO39" i="4"/>
  <c r="AO38" i="4"/>
  <c r="AO37" i="4"/>
  <c r="AO36" i="4"/>
  <c r="AO35" i="4"/>
  <c r="AN59" i="4" l="1"/>
  <c r="AN58" i="4"/>
  <c r="AN57" i="4"/>
  <c r="AN54" i="4"/>
  <c r="AN53" i="4"/>
  <c r="AN52" i="4"/>
  <c r="AN51" i="4"/>
  <c r="AN50" i="4"/>
  <c r="AN49" i="4"/>
  <c r="AN48" i="4"/>
  <c r="AN47" i="4"/>
  <c r="AN46" i="4"/>
  <c r="AN45" i="4"/>
  <c r="AN44" i="4"/>
  <c r="AN43" i="4"/>
  <c r="AN42" i="4"/>
  <c r="AN41" i="4"/>
  <c r="AN40" i="4"/>
  <c r="AN39" i="4"/>
  <c r="AN38" i="4"/>
  <c r="AN37" i="4"/>
  <c r="AN36" i="4"/>
  <c r="AN35" i="4"/>
  <c r="AM59" i="4" l="1"/>
  <c r="AM58" i="4"/>
  <c r="AM57" i="4"/>
  <c r="AM54" i="4"/>
  <c r="AM53" i="4"/>
  <c r="AM52" i="4"/>
  <c r="AM51" i="4"/>
  <c r="AM50" i="4"/>
  <c r="AM49" i="4"/>
  <c r="AM48" i="4"/>
  <c r="AM47" i="4"/>
  <c r="AM46" i="4"/>
  <c r="AM45" i="4"/>
  <c r="AM44" i="4"/>
  <c r="AM43" i="4"/>
  <c r="AM42" i="4"/>
  <c r="AM41" i="4"/>
  <c r="AM40" i="4"/>
  <c r="AM39" i="4"/>
  <c r="AM38" i="4"/>
  <c r="AM37" i="4"/>
  <c r="AM36" i="4"/>
  <c r="AM35" i="4"/>
  <c r="AL59" i="4" l="1"/>
  <c r="AL58" i="4"/>
  <c r="AL57" i="4"/>
  <c r="AL54" i="4"/>
  <c r="AL53" i="4"/>
  <c r="AL52" i="4"/>
  <c r="AL51" i="4"/>
  <c r="AL50" i="4"/>
  <c r="AL49" i="4"/>
  <c r="AL48" i="4"/>
  <c r="AL47" i="4"/>
  <c r="AL46" i="4"/>
  <c r="AL45" i="4"/>
  <c r="AL44" i="4"/>
  <c r="AL43" i="4"/>
  <c r="AL42" i="4"/>
  <c r="AL41" i="4"/>
  <c r="AL40" i="4"/>
  <c r="AL39" i="4"/>
  <c r="AL38" i="4"/>
  <c r="AL37" i="4"/>
  <c r="AL36" i="4"/>
  <c r="AL35" i="4"/>
  <c r="AK59" i="4" l="1"/>
  <c r="AK58" i="4"/>
  <c r="AK57" i="4"/>
  <c r="AK54" i="4"/>
  <c r="AK53" i="4"/>
  <c r="AK52" i="4"/>
  <c r="AK51" i="4"/>
  <c r="AK50" i="4"/>
  <c r="AK49" i="4"/>
  <c r="AK48" i="4"/>
  <c r="AK47" i="4"/>
  <c r="AK46" i="4"/>
  <c r="AK45" i="4"/>
  <c r="AK44" i="4"/>
  <c r="AK43" i="4"/>
  <c r="AK42" i="4"/>
  <c r="AK41" i="4"/>
  <c r="AK40" i="4"/>
  <c r="AK39" i="4"/>
  <c r="AK38" i="4"/>
  <c r="AK37" i="4"/>
  <c r="AK36" i="4"/>
  <c r="AK35" i="4"/>
  <c r="AJ59" i="4" l="1"/>
  <c r="AJ58" i="4"/>
  <c r="AJ57" i="4"/>
  <c r="AJ54" i="4"/>
  <c r="AJ53" i="4"/>
  <c r="AJ52" i="4"/>
  <c r="AJ51" i="4"/>
  <c r="AJ50" i="4"/>
  <c r="AJ49" i="4"/>
  <c r="AJ48" i="4"/>
  <c r="AJ47" i="4"/>
  <c r="AJ46" i="4"/>
  <c r="AJ45" i="4"/>
  <c r="AJ44" i="4"/>
  <c r="AJ43" i="4"/>
  <c r="AJ42" i="4"/>
  <c r="AJ41" i="4"/>
  <c r="AJ40" i="4"/>
  <c r="AJ39" i="4"/>
  <c r="AJ38" i="4"/>
  <c r="AJ37" i="4"/>
  <c r="AJ36" i="4"/>
  <c r="AJ35" i="4"/>
  <c r="AI59" i="4" l="1"/>
  <c r="AI58" i="4"/>
  <c r="AI57" i="4"/>
  <c r="AI54" i="4"/>
  <c r="AI53" i="4"/>
  <c r="AI52" i="4"/>
  <c r="AI51" i="4"/>
  <c r="AI50" i="4"/>
  <c r="AI49" i="4"/>
  <c r="AI48" i="4"/>
  <c r="AI47" i="4"/>
  <c r="AI46" i="4"/>
  <c r="AI45" i="4"/>
  <c r="AI44" i="4"/>
  <c r="AI43" i="4"/>
  <c r="AI42" i="4"/>
  <c r="AI41" i="4"/>
  <c r="AI40" i="4"/>
  <c r="AI39" i="4"/>
  <c r="AI38" i="4"/>
  <c r="AI37" i="4"/>
  <c r="AI36" i="4"/>
  <c r="AI35" i="4"/>
  <c r="AG35" i="4" l="1"/>
  <c r="AG59" i="4"/>
  <c r="AG58" i="4"/>
  <c r="AG57" i="4"/>
  <c r="AG54" i="4"/>
  <c r="AG53" i="4"/>
  <c r="AG52" i="4"/>
  <c r="AG51" i="4"/>
  <c r="AG50" i="4"/>
  <c r="AG49" i="4"/>
  <c r="AG48" i="4"/>
  <c r="AG47" i="4"/>
  <c r="AG46" i="4"/>
  <c r="AG45" i="4"/>
  <c r="AG44" i="4"/>
  <c r="AG43" i="4"/>
  <c r="AG42" i="4"/>
  <c r="AG41" i="4"/>
  <c r="AG40" i="4"/>
  <c r="AG39" i="4"/>
  <c r="AG38" i="4"/>
  <c r="AG37" i="4"/>
  <c r="AG36" i="4"/>
  <c r="AH59" i="4"/>
  <c r="AH58" i="4"/>
  <c r="AH57" i="4"/>
  <c r="AH54" i="4"/>
  <c r="AH53" i="4"/>
  <c r="AH52" i="4"/>
  <c r="AH51" i="4"/>
  <c r="AH50" i="4"/>
  <c r="AH49" i="4"/>
  <c r="AH48" i="4"/>
  <c r="AH47" i="4"/>
  <c r="AH46" i="4"/>
  <c r="AH45" i="4"/>
  <c r="AH44" i="4"/>
  <c r="AH43" i="4"/>
  <c r="AH42" i="4"/>
  <c r="AH41" i="4"/>
  <c r="AH40" i="4"/>
  <c r="AH39" i="4"/>
  <c r="AH38" i="4"/>
  <c r="AH37" i="4"/>
  <c r="AH36" i="4"/>
  <c r="AH35" i="4"/>
  <c r="AF59" i="4" l="1"/>
  <c r="AF58" i="4"/>
  <c r="AF57" i="4"/>
  <c r="AF54" i="4"/>
  <c r="AF53" i="4"/>
  <c r="AF52" i="4"/>
  <c r="AF51" i="4"/>
  <c r="AF50" i="4"/>
  <c r="AF49" i="4"/>
  <c r="AF48" i="4"/>
  <c r="AF47" i="4"/>
  <c r="AF46" i="4"/>
  <c r="AF45" i="4"/>
  <c r="AF44" i="4"/>
  <c r="AF43" i="4"/>
  <c r="AF42" i="4"/>
  <c r="AF41" i="4"/>
  <c r="AF40" i="4"/>
  <c r="AF39" i="4"/>
  <c r="AF38" i="4"/>
  <c r="AF37" i="4"/>
  <c r="AF36" i="4"/>
  <c r="AF35" i="4"/>
  <c r="AE59" i="4" l="1"/>
  <c r="AE58" i="4"/>
  <c r="AE57" i="4"/>
  <c r="AE54" i="4"/>
  <c r="AE53" i="4"/>
  <c r="AE52" i="4"/>
  <c r="AE51" i="4"/>
  <c r="AE50" i="4"/>
  <c r="AE49" i="4"/>
  <c r="AE48" i="4"/>
  <c r="AE47" i="4"/>
  <c r="AE46" i="4"/>
  <c r="AE45" i="4"/>
  <c r="AE44" i="4"/>
  <c r="AE43" i="4"/>
  <c r="AE42" i="4"/>
  <c r="AE41" i="4"/>
  <c r="AE40" i="4"/>
  <c r="AE39" i="4"/>
  <c r="AE38" i="4"/>
  <c r="AE37" i="4"/>
  <c r="AE36" i="4"/>
  <c r="AE35" i="4"/>
  <c r="AD59" i="4" l="1"/>
  <c r="AD58" i="4"/>
  <c r="AD57" i="4"/>
  <c r="AD54" i="4"/>
  <c r="AD53" i="4"/>
  <c r="AD52" i="4"/>
  <c r="AD51" i="4"/>
  <c r="AD50" i="4"/>
  <c r="AD49" i="4"/>
  <c r="AD48" i="4"/>
  <c r="AD47" i="4"/>
  <c r="AD46" i="4"/>
  <c r="AD45" i="4"/>
  <c r="AD44" i="4"/>
  <c r="AD43" i="4"/>
  <c r="AD42" i="4"/>
  <c r="AD41" i="4"/>
  <c r="AD40" i="4"/>
  <c r="AD39" i="4"/>
  <c r="AD38" i="4"/>
  <c r="AD37" i="4"/>
  <c r="AD36" i="4"/>
  <c r="AD35" i="4"/>
  <c r="AC59" i="4" l="1"/>
  <c r="AC58" i="4"/>
  <c r="AC57" i="4"/>
  <c r="AC54" i="4"/>
  <c r="AC53" i="4"/>
  <c r="AC52" i="4"/>
  <c r="AC51" i="4"/>
  <c r="AC50" i="4"/>
  <c r="AC49" i="4"/>
  <c r="AC48" i="4"/>
  <c r="AC47" i="4"/>
  <c r="AC46" i="4"/>
  <c r="AC45" i="4"/>
  <c r="AC44" i="4"/>
  <c r="AC43" i="4"/>
  <c r="AC42" i="4"/>
  <c r="AC41" i="4"/>
  <c r="AC40" i="4"/>
  <c r="AC39" i="4"/>
  <c r="AC38" i="4"/>
  <c r="AC37" i="4"/>
  <c r="AC36" i="4"/>
  <c r="AC35" i="4"/>
  <c r="AB59" i="4" l="1"/>
  <c r="AB58" i="4"/>
  <c r="AB57" i="4"/>
  <c r="AB54" i="4"/>
  <c r="AB53" i="4"/>
  <c r="AB52" i="4"/>
  <c r="AB51" i="4"/>
  <c r="AB50" i="4"/>
  <c r="AB49" i="4"/>
  <c r="AB48" i="4"/>
  <c r="AB47" i="4"/>
  <c r="AB46" i="4"/>
  <c r="AB45" i="4"/>
  <c r="AB44" i="4"/>
  <c r="AB43" i="4"/>
  <c r="AB42" i="4"/>
  <c r="AB41" i="4"/>
  <c r="AB40" i="4"/>
  <c r="AB39" i="4"/>
  <c r="AB38" i="4"/>
  <c r="AB37" i="4"/>
  <c r="AB36" i="4"/>
  <c r="AB35" i="4"/>
  <c r="AA59" i="4" l="1"/>
  <c r="AA58" i="4"/>
  <c r="AA57" i="4"/>
  <c r="AA54" i="4"/>
  <c r="AA53" i="4"/>
  <c r="AA52" i="4"/>
  <c r="AA51" i="4"/>
  <c r="AA50" i="4"/>
  <c r="AA49" i="4"/>
  <c r="AA48" i="4"/>
  <c r="AA47" i="4"/>
  <c r="AA46" i="4"/>
  <c r="AA45" i="4"/>
  <c r="AA44" i="4"/>
  <c r="AA43" i="4"/>
  <c r="AA42" i="4"/>
  <c r="AA41" i="4"/>
  <c r="AA40" i="4"/>
  <c r="AA39" i="4"/>
  <c r="AA38" i="4"/>
  <c r="AA37" i="4"/>
  <c r="AA36" i="4"/>
  <c r="AA35" i="4"/>
  <c r="Z59" i="4" l="1"/>
  <c r="Z58" i="4"/>
  <c r="Z57" i="4"/>
  <c r="Z54" i="4"/>
  <c r="Z53" i="4"/>
  <c r="Z52" i="4"/>
  <c r="Z51" i="4"/>
  <c r="Z50" i="4"/>
  <c r="Z49" i="4"/>
  <c r="Z48" i="4"/>
  <c r="Z47" i="4"/>
  <c r="Z46" i="4"/>
  <c r="Z45" i="4"/>
  <c r="Z44" i="4"/>
  <c r="Z43" i="4"/>
  <c r="Z42" i="4"/>
  <c r="Z41" i="4"/>
  <c r="Z40" i="4"/>
  <c r="Z39" i="4"/>
  <c r="Z38" i="4"/>
  <c r="Z37" i="4"/>
  <c r="Z36" i="4"/>
  <c r="Z35" i="4"/>
  <c r="Y59" i="4"/>
  <c r="Y58" i="4"/>
  <c r="Y57" i="4"/>
  <c r="Y54" i="4"/>
  <c r="Y53" i="4"/>
  <c r="Y52" i="4"/>
  <c r="Y51" i="4"/>
  <c r="Y50" i="4"/>
  <c r="Y49" i="4"/>
  <c r="Y48" i="4"/>
  <c r="Y47" i="4"/>
  <c r="Y46" i="4"/>
  <c r="Y45" i="4"/>
  <c r="Y44" i="4"/>
  <c r="Y43" i="4"/>
  <c r="Y42" i="4"/>
  <c r="Y41" i="4"/>
  <c r="Y40" i="4"/>
  <c r="Y39" i="4"/>
  <c r="Y38" i="4"/>
  <c r="Y37" i="4"/>
  <c r="Y36" i="4"/>
  <c r="Y35" i="4"/>
  <c r="X59" i="4" l="1"/>
  <c r="X58" i="4"/>
  <c r="X57" i="4"/>
  <c r="X54" i="4"/>
  <c r="X53" i="4"/>
  <c r="X52" i="4"/>
  <c r="X51" i="4"/>
  <c r="X50" i="4"/>
  <c r="X49" i="4"/>
  <c r="X48" i="4"/>
  <c r="X47" i="4"/>
  <c r="X46" i="4"/>
  <c r="X45" i="4"/>
  <c r="X44" i="4"/>
  <c r="X43" i="4"/>
  <c r="X42" i="4"/>
  <c r="X41" i="4"/>
  <c r="X40" i="4"/>
  <c r="X39" i="4"/>
  <c r="X38" i="4"/>
  <c r="X37" i="4"/>
  <c r="X36" i="4"/>
  <c r="X35" i="4"/>
  <c r="W59" i="4" l="1"/>
  <c r="W58" i="4"/>
  <c r="W57" i="4"/>
  <c r="W54" i="4"/>
  <c r="W53" i="4"/>
  <c r="W52" i="4"/>
  <c r="W51" i="4"/>
  <c r="W50" i="4"/>
  <c r="W49" i="4"/>
  <c r="W48" i="4"/>
  <c r="W47" i="4"/>
  <c r="W46" i="4"/>
  <c r="W45" i="4"/>
  <c r="W44" i="4"/>
  <c r="W43" i="4"/>
  <c r="W42" i="4"/>
  <c r="W41" i="4"/>
  <c r="W40" i="4"/>
  <c r="W39" i="4"/>
  <c r="W38" i="4"/>
  <c r="W37" i="4"/>
  <c r="W36" i="4"/>
  <c r="W35" i="4"/>
  <c r="V59" i="4" l="1"/>
  <c r="V58" i="4"/>
  <c r="V57" i="4"/>
  <c r="V54" i="4"/>
  <c r="V53" i="4"/>
  <c r="V52" i="4"/>
  <c r="V51" i="4"/>
  <c r="V50" i="4"/>
  <c r="V49" i="4"/>
  <c r="V48" i="4"/>
  <c r="V47" i="4"/>
  <c r="V46" i="4"/>
  <c r="V45" i="4"/>
  <c r="V44" i="4"/>
  <c r="V43" i="4"/>
  <c r="V42" i="4"/>
  <c r="V41" i="4"/>
  <c r="V40" i="4"/>
  <c r="V39" i="4"/>
  <c r="V38" i="4"/>
  <c r="V37" i="4"/>
  <c r="V36" i="4"/>
  <c r="V35" i="4"/>
  <c r="U59" i="4" l="1"/>
  <c r="U58" i="4"/>
  <c r="U57" i="4"/>
  <c r="U54" i="4"/>
  <c r="U53" i="4"/>
  <c r="U52" i="4"/>
  <c r="U51" i="4"/>
  <c r="U50" i="4"/>
  <c r="U49" i="4"/>
  <c r="U48" i="4"/>
  <c r="U47" i="4"/>
  <c r="U46" i="4"/>
  <c r="U45" i="4"/>
  <c r="U44" i="4"/>
  <c r="U43" i="4"/>
  <c r="U42" i="4"/>
  <c r="U41" i="4"/>
  <c r="U40" i="4"/>
  <c r="U39" i="4"/>
  <c r="U38" i="4"/>
  <c r="U37" i="4"/>
  <c r="U36" i="4"/>
  <c r="U35" i="4"/>
  <c r="T59" i="4" l="1"/>
  <c r="T58" i="4"/>
  <c r="T57" i="4"/>
  <c r="T54" i="4"/>
  <c r="T53" i="4"/>
  <c r="T52" i="4"/>
  <c r="T51" i="4"/>
  <c r="T50" i="4"/>
  <c r="T49" i="4"/>
  <c r="T48" i="4"/>
  <c r="T47" i="4"/>
  <c r="T46" i="4"/>
  <c r="T45" i="4"/>
  <c r="T44" i="4"/>
  <c r="T43" i="4"/>
  <c r="T42" i="4"/>
  <c r="T41" i="4"/>
  <c r="T40" i="4"/>
  <c r="T39" i="4"/>
  <c r="T38" i="4"/>
  <c r="T37" i="4"/>
  <c r="T36" i="4"/>
  <c r="T35" i="4"/>
  <c r="S59" i="4" l="1"/>
  <c r="S58" i="4"/>
  <c r="S57" i="4"/>
  <c r="S54" i="4"/>
  <c r="S53" i="4"/>
  <c r="S52" i="4"/>
  <c r="S51" i="4"/>
  <c r="S50" i="4"/>
  <c r="S49" i="4"/>
  <c r="S48" i="4"/>
  <c r="S47" i="4"/>
  <c r="S46" i="4"/>
  <c r="S45" i="4"/>
  <c r="S44" i="4"/>
  <c r="S43" i="4"/>
  <c r="S42" i="4"/>
  <c r="S41" i="4"/>
  <c r="S40" i="4"/>
  <c r="S39" i="4"/>
  <c r="S38" i="4"/>
  <c r="S37" i="4"/>
  <c r="S36" i="4"/>
  <c r="S35" i="4"/>
  <c r="R59" i="4"/>
  <c r="R58" i="4"/>
  <c r="R57" i="4"/>
  <c r="R54" i="4"/>
  <c r="R53" i="4"/>
  <c r="R52" i="4"/>
  <c r="R51" i="4"/>
  <c r="R50" i="4"/>
  <c r="R49" i="4"/>
  <c r="R48" i="4"/>
  <c r="R47" i="4"/>
  <c r="R46" i="4"/>
  <c r="R45" i="4"/>
  <c r="R44" i="4"/>
  <c r="R43" i="4"/>
  <c r="R42" i="4"/>
  <c r="R41" i="4"/>
  <c r="R40" i="4"/>
  <c r="R39" i="4"/>
  <c r="R38" i="4"/>
  <c r="R37" i="4"/>
  <c r="R36" i="4"/>
  <c r="R35" i="4"/>
  <c r="Q59" i="4" l="1"/>
  <c r="Q58" i="4"/>
  <c r="Q57" i="4"/>
  <c r="Q54" i="4"/>
  <c r="Q53" i="4"/>
  <c r="Q52" i="4"/>
  <c r="Q51" i="4"/>
  <c r="Q50" i="4"/>
  <c r="Q49" i="4"/>
  <c r="Q48" i="4"/>
  <c r="Q47" i="4"/>
  <c r="Q46" i="4"/>
  <c r="Q45" i="4"/>
  <c r="Q44" i="4"/>
  <c r="Q43" i="4"/>
  <c r="Q42" i="4"/>
  <c r="Q41" i="4"/>
  <c r="Q40" i="4"/>
  <c r="Q39" i="4"/>
  <c r="Q38" i="4"/>
  <c r="Q37" i="4"/>
  <c r="Q36" i="4"/>
  <c r="Q35" i="4"/>
  <c r="P59" i="4" l="1"/>
  <c r="P58" i="4"/>
  <c r="P57" i="4"/>
  <c r="P54" i="4"/>
  <c r="P53" i="4"/>
  <c r="P52" i="4"/>
  <c r="P51" i="4"/>
  <c r="P50" i="4"/>
  <c r="P49" i="4"/>
  <c r="P48" i="4"/>
  <c r="P47" i="4"/>
  <c r="P46" i="4"/>
  <c r="P45" i="4"/>
  <c r="P44" i="4"/>
  <c r="P43" i="4"/>
  <c r="P42" i="4"/>
  <c r="P41" i="4"/>
  <c r="P40" i="4"/>
  <c r="P39" i="4"/>
  <c r="P38" i="4"/>
  <c r="P37" i="4"/>
  <c r="P36" i="4"/>
  <c r="P35" i="4"/>
  <c r="D35" i="4" l="1"/>
  <c r="E35" i="4"/>
  <c r="F35" i="4"/>
  <c r="G35" i="4"/>
  <c r="H35" i="4"/>
  <c r="I35" i="4"/>
  <c r="J35" i="4"/>
  <c r="K35" i="4"/>
  <c r="L35" i="4"/>
  <c r="M35" i="4"/>
  <c r="N35" i="4"/>
  <c r="O35" i="4"/>
  <c r="D36" i="4"/>
  <c r="E36" i="4"/>
  <c r="F36" i="4"/>
  <c r="G36" i="4"/>
  <c r="H36" i="4"/>
  <c r="I36" i="4"/>
  <c r="J36" i="4"/>
  <c r="K36" i="4"/>
  <c r="L36" i="4"/>
  <c r="M36" i="4"/>
  <c r="N36" i="4"/>
  <c r="O36" i="4"/>
  <c r="D37" i="4"/>
  <c r="E37" i="4"/>
  <c r="F37" i="4"/>
  <c r="G37" i="4"/>
  <c r="H37" i="4"/>
  <c r="I37" i="4"/>
  <c r="J37" i="4"/>
  <c r="K37" i="4"/>
  <c r="L37" i="4"/>
  <c r="M37" i="4"/>
  <c r="N37" i="4"/>
  <c r="O37" i="4"/>
  <c r="D38" i="4"/>
  <c r="E38" i="4"/>
  <c r="F38" i="4"/>
  <c r="G38" i="4"/>
  <c r="H38" i="4"/>
  <c r="I38" i="4"/>
  <c r="J38" i="4"/>
  <c r="K38" i="4"/>
  <c r="L38" i="4"/>
  <c r="M38" i="4"/>
  <c r="N38" i="4"/>
  <c r="O38" i="4"/>
  <c r="D39" i="4"/>
  <c r="E39" i="4"/>
  <c r="F39" i="4"/>
  <c r="G39" i="4"/>
  <c r="H39" i="4"/>
  <c r="I39" i="4"/>
  <c r="J39" i="4"/>
  <c r="K39" i="4"/>
  <c r="L39" i="4"/>
  <c r="M39" i="4"/>
  <c r="N39" i="4"/>
  <c r="O39" i="4"/>
  <c r="D40" i="4"/>
  <c r="E40" i="4"/>
  <c r="F40" i="4"/>
  <c r="G40" i="4"/>
  <c r="H40" i="4"/>
  <c r="I40" i="4"/>
  <c r="J40" i="4"/>
  <c r="K40" i="4"/>
  <c r="L40" i="4"/>
  <c r="M40" i="4"/>
  <c r="N40" i="4"/>
  <c r="O40" i="4"/>
  <c r="D41" i="4"/>
  <c r="E41" i="4"/>
  <c r="F41" i="4"/>
  <c r="G41" i="4"/>
  <c r="H41" i="4"/>
  <c r="I41" i="4"/>
  <c r="J41" i="4"/>
  <c r="K41" i="4"/>
  <c r="L41" i="4"/>
  <c r="M41" i="4"/>
  <c r="N41" i="4"/>
  <c r="O41" i="4"/>
  <c r="D42" i="4"/>
  <c r="E42" i="4"/>
  <c r="F42" i="4"/>
  <c r="G42" i="4"/>
  <c r="H42" i="4"/>
  <c r="I42" i="4"/>
  <c r="J42" i="4"/>
  <c r="K42" i="4"/>
  <c r="L42" i="4"/>
  <c r="M42" i="4"/>
  <c r="N42" i="4"/>
  <c r="O42" i="4"/>
  <c r="D43" i="4"/>
  <c r="E43" i="4"/>
  <c r="F43" i="4"/>
  <c r="G43" i="4"/>
  <c r="H43" i="4"/>
  <c r="I43" i="4"/>
  <c r="J43" i="4"/>
  <c r="K43" i="4"/>
  <c r="L43" i="4"/>
  <c r="M43" i="4"/>
  <c r="N43" i="4"/>
  <c r="O43" i="4"/>
  <c r="D44" i="4"/>
  <c r="E44" i="4"/>
  <c r="F44" i="4"/>
  <c r="G44" i="4"/>
  <c r="H44" i="4"/>
  <c r="I44" i="4"/>
  <c r="J44" i="4"/>
  <c r="K44" i="4"/>
  <c r="L44" i="4"/>
  <c r="M44" i="4"/>
  <c r="N44" i="4"/>
  <c r="O44" i="4"/>
  <c r="D45" i="4"/>
  <c r="E45" i="4"/>
  <c r="F45" i="4"/>
  <c r="G45" i="4"/>
  <c r="H45" i="4"/>
  <c r="I45" i="4"/>
  <c r="J45" i="4"/>
  <c r="K45" i="4"/>
  <c r="L45" i="4"/>
  <c r="M45" i="4"/>
  <c r="N45" i="4"/>
  <c r="O45" i="4"/>
  <c r="D46" i="4"/>
  <c r="E46" i="4"/>
  <c r="F46" i="4"/>
  <c r="G46" i="4"/>
  <c r="H46" i="4"/>
  <c r="I46" i="4"/>
  <c r="J46" i="4"/>
  <c r="K46" i="4"/>
  <c r="L46" i="4"/>
  <c r="M46" i="4"/>
  <c r="N46" i="4"/>
  <c r="O46" i="4"/>
  <c r="D47" i="4"/>
  <c r="E47" i="4"/>
  <c r="F47" i="4"/>
  <c r="G47" i="4"/>
  <c r="H47" i="4"/>
  <c r="I47" i="4"/>
  <c r="J47" i="4"/>
  <c r="K47" i="4"/>
  <c r="L47" i="4"/>
  <c r="M47" i="4"/>
  <c r="N47" i="4"/>
  <c r="O47" i="4"/>
  <c r="D48" i="4"/>
  <c r="E48" i="4"/>
  <c r="F48" i="4"/>
  <c r="G48" i="4"/>
  <c r="H48" i="4"/>
  <c r="I48" i="4"/>
  <c r="J48" i="4"/>
  <c r="K48" i="4"/>
  <c r="L48" i="4"/>
  <c r="M48" i="4"/>
  <c r="N48" i="4"/>
  <c r="O48" i="4"/>
  <c r="D49" i="4"/>
  <c r="E49" i="4"/>
  <c r="F49" i="4"/>
  <c r="G49" i="4"/>
  <c r="H49" i="4"/>
  <c r="I49" i="4"/>
  <c r="J49" i="4"/>
  <c r="K49" i="4"/>
  <c r="L49" i="4"/>
  <c r="M49" i="4"/>
  <c r="N49" i="4"/>
  <c r="O49" i="4"/>
  <c r="D50" i="4"/>
  <c r="E50" i="4"/>
  <c r="F50" i="4"/>
  <c r="G50" i="4"/>
  <c r="H50" i="4"/>
  <c r="I50" i="4"/>
  <c r="J50" i="4"/>
  <c r="K50" i="4"/>
  <c r="L50" i="4"/>
  <c r="M50" i="4"/>
  <c r="N50" i="4"/>
  <c r="O50" i="4"/>
  <c r="D51" i="4"/>
  <c r="E51" i="4"/>
  <c r="F51" i="4"/>
  <c r="G51" i="4"/>
  <c r="H51" i="4"/>
  <c r="I51" i="4"/>
  <c r="J51" i="4"/>
  <c r="K51" i="4"/>
  <c r="L51" i="4"/>
  <c r="M51" i="4"/>
  <c r="N51" i="4"/>
  <c r="O51" i="4"/>
  <c r="D52" i="4"/>
  <c r="E52" i="4"/>
  <c r="F52" i="4"/>
  <c r="G52" i="4"/>
  <c r="H52" i="4"/>
  <c r="I52" i="4"/>
  <c r="J52" i="4"/>
  <c r="K52" i="4"/>
  <c r="L52" i="4"/>
  <c r="M52" i="4"/>
  <c r="N52" i="4"/>
  <c r="O52" i="4"/>
  <c r="D53" i="4"/>
  <c r="E53" i="4"/>
  <c r="F53" i="4"/>
  <c r="G53" i="4"/>
  <c r="H53" i="4"/>
  <c r="I53" i="4"/>
  <c r="J53" i="4"/>
  <c r="K53" i="4"/>
  <c r="L53" i="4"/>
  <c r="M53" i="4"/>
  <c r="N53" i="4"/>
  <c r="O53" i="4"/>
  <c r="D54" i="4"/>
  <c r="E54" i="4"/>
  <c r="F54" i="4"/>
  <c r="G54" i="4"/>
  <c r="H54" i="4"/>
  <c r="I54" i="4"/>
  <c r="J54" i="4"/>
  <c r="K54" i="4"/>
  <c r="L54" i="4"/>
  <c r="M54" i="4"/>
  <c r="N54" i="4"/>
  <c r="O54" i="4"/>
  <c r="D57" i="4"/>
  <c r="E57" i="4"/>
  <c r="F57" i="4"/>
  <c r="G57" i="4"/>
  <c r="H57" i="4"/>
  <c r="I57" i="4"/>
  <c r="J57" i="4"/>
  <c r="K57" i="4"/>
  <c r="L57" i="4"/>
  <c r="M57" i="4"/>
  <c r="N57" i="4"/>
  <c r="O57" i="4"/>
  <c r="D58" i="4"/>
  <c r="E58" i="4"/>
  <c r="F58" i="4"/>
  <c r="G58" i="4"/>
  <c r="H58" i="4"/>
  <c r="I58" i="4"/>
  <c r="J58" i="4"/>
  <c r="K58" i="4"/>
  <c r="L58" i="4"/>
  <c r="M58" i="4"/>
  <c r="N58" i="4"/>
  <c r="O58" i="4"/>
  <c r="D59" i="4"/>
  <c r="E59" i="4"/>
  <c r="F59" i="4"/>
  <c r="G59" i="4"/>
  <c r="H59" i="4"/>
  <c r="I59" i="4"/>
  <c r="J59" i="4"/>
  <c r="K59" i="4"/>
  <c r="L59" i="4"/>
  <c r="M59" i="4"/>
  <c r="N59" i="4"/>
  <c r="O59" i="4"/>
  <c r="C59" i="4" l="1"/>
  <c r="C58" i="4"/>
  <c r="C57" i="4"/>
  <c r="C54" i="4"/>
  <c r="C53" i="4"/>
  <c r="C52" i="4"/>
  <c r="C51" i="4"/>
  <c r="C50" i="4"/>
  <c r="C49" i="4"/>
  <c r="C48" i="4"/>
  <c r="C47" i="4"/>
  <c r="C46" i="4"/>
  <c r="C45" i="4"/>
  <c r="C44" i="4"/>
  <c r="C43" i="4"/>
  <c r="C42" i="4"/>
  <c r="C41" i="4"/>
  <c r="C40" i="4"/>
  <c r="C39" i="4"/>
  <c r="C38" i="4"/>
  <c r="C37" i="4"/>
  <c r="C36" i="4"/>
  <c r="C35" i="4"/>
</calcChain>
</file>

<file path=xl/sharedStrings.xml><?xml version="1.0" encoding="utf-8"?>
<sst xmlns="http://schemas.openxmlformats.org/spreadsheetml/2006/main" count="174" uniqueCount="152">
  <si>
    <t xml:space="preserve"> </t>
  </si>
  <si>
    <t>(million drams)</t>
  </si>
  <si>
    <t xml:space="preserve">   General government </t>
  </si>
  <si>
    <t>    Banks</t>
  </si>
  <si>
    <t>MONETARY BASE</t>
  </si>
  <si>
    <t>   Currency outside of the CBA</t>
  </si>
  <si>
    <t>   Other accounts of residents</t>
  </si>
  <si>
    <t>      Other accounts (in dram)</t>
  </si>
  <si>
    <t>      Other accounts (in FX)</t>
  </si>
  <si>
    <t xml:space="preserve">          CBA foreign currency swap (FX attraction)</t>
  </si>
  <si>
    <t xml:space="preserve">          Deposits (-)</t>
  </si>
  <si>
    <t xml:space="preserve">          CBA foreign currency swap (FX allocation) (-)</t>
  </si>
  <si>
    <t xml:space="preserve">          Deposit auctions (-)</t>
  </si>
  <si>
    <t xml:space="preserve">     Correspondent accounts (in FX)</t>
  </si>
  <si>
    <t xml:space="preserve">     Correspondent accounts (in dram)</t>
  </si>
  <si>
    <t>Changes against the previous period</t>
  </si>
  <si>
    <t xml:space="preserve">    Securites issued by the CBA (-)</t>
  </si>
  <si>
    <t xml:space="preserve">       including Repo transactions, o/w</t>
  </si>
  <si>
    <t xml:space="preserve">          Reverse repo (-)</t>
  </si>
  <si>
    <t>NDA</t>
  </si>
  <si>
    <t xml:space="preserve">    Other items,net</t>
  </si>
  <si>
    <r>
      <t>NDA</t>
    </r>
    <r>
      <rPr>
        <vertAlign val="superscript"/>
        <sz val="11"/>
        <rFont val="GHEA Grapalat"/>
        <family val="3"/>
      </rPr>
      <t xml:space="preserve"> </t>
    </r>
  </si>
  <si>
    <t xml:space="preserve">                        Main refinancing instrument</t>
  </si>
  <si>
    <t xml:space="preserve">                        Long-term refinancing instrument</t>
  </si>
  <si>
    <t xml:space="preserve">                        Fine tuning repo instrument</t>
  </si>
  <si>
    <t xml:space="preserve">                        Lombard repo</t>
  </si>
  <si>
    <t xml:space="preserve">Net international reserves (NIR) </t>
  </si>
  <si>
    <r>
      <t xml:space="preserve">30-Dec-23 </t>
    </r>
    <r>
      <rPr>
        <b/>
        <vertAlign val="superscript"/>
        <sz val="11"/>
        <rFont val="GHEA Grapalat"/>
        <family val="3"/>
      </rPr>
      <t>1</t>
    </r>
  </si>
  <si>
    <r>
      <t xml:space="preserve">29-Mar-24 </t>
    </r>
    <r>
      <rPr>
        <b/>
        <vertAlign val="superscript"/>
        <sz val="11"/>
        <rFont val="GHEA Grapalat"/>
        <family val="3"/>
      </rPr>
      <t>1</t>
    </r>
  </si>
  <si>
    <t>      Other banks accounts (in dram)</t>
  </si>
  <si>
    <t>      Other banks accounts (in FX)</t>
  </si>
  <si>
    <t xml:space="preserve">ACCOUNTS OF THE CENTRAL BANK OF ARMENIA      </t>
  </si>
  <si>
    <t>      Other banks accounts (in dram)*</t>
  </si>
  <si>
    <t>      Other banks accounts (in FX)*</t>
  </si>
  <si>
    <t>* According to the decision of the Board of the Central Bank of Armenia dated 03.09.2024 "ON CHANGES AND ADDITIONS TO THE DECISION OF THE CENTRAL BANK OF THE REPUBLIC OF ARMENIA OF JANUARY 24, 2014 No. 7 A"</t>
  </si>
  <si>
    <t>https://www.cba.am/Storage/AM/downloads/karger/%D5%80%D5%A1%D5%BE%D5%A5%D5%AC%D5%BE%D5%A1%D5%AE%D5%B6%D5%A5%D6%80.xlsm</t>
  </si>
  <si>
    <t>03.01.25</t>
  </si>
  <si>
    <t>07.01.25</t>
  </si>
  <si>
    <t>08.01.25</t>
  </si>
  <si>
    <t>09.01.25</t>
  </si>
  <si>
    <t>10.01.25</t>
  </si>
  <si>
    <t>13.01.25</t>
  </si>
  <si>
    <t>14.01.25</t>
  </si>
  <si>
    <t>15.01.25</t>
  </si>
  <si>
    <t>16.01.25</t>
  </si>
  <si>
    <t>17.01.25</t>
  </si>
  <si>
    <t>20.01.25</t>
  </si>
  <si>
    <t>21.01.25</t>
  </si>
  <si>
    <t>22.01.25</t>
  </si>
  <si>
    <t>23.01.25</t>
  </si>
  <si>
    <t>24.01.25</t>
  </si>
  <si>
    <t>27.01.25</t>
  </si>
  <si>
    <t>29.01.25</t>
  </si>
  <si>
    <t>30.01.25</t>
  </si>
  <si>
    <t>03.02.25</t>
  </si>
  <si>
    <t>04.02.25</t>
  </si>
  <si>
    <t>05.02.25</t>
  </si>
  <si>
    <t>06.02.25</t>
  </si>
  <si>
    <t>07.02.25</t>
  </si>
  <si>
    <t>10.02.25</t>
  </si>
  <si>
    <t>11.02.25</t>
  </si>
  <si>
    <t>12.02.25</t>
  </si>
  <si>
    <t>13.02.25</t>
  </si>
  <si>
    <t>14.02.25</t>
  </si>
  <si>
    <t>17.02.25</t>
  </si>
  <si>
    <t>18.02.25</t>
  </si>
  <si>
    <t>19.02.25</t>
  </si>
  <si>
    <t>20.02.25</t>
  </si>
  <si>
    <t>21.02.25</t>
  </si>
  <si>
    <t>24.02.25</t>
  </si>
  <si>
    <t>25.02.25</t>
  </si>
  <si>
    <t>26.02.25</t>
  </si>
  <si>
    <t>27.02.25</t>
  </si>
  <si>
    <t>03.03.25</t>
  </si>
  <si>
    <t>04.03.25</t>
  </si>
  <si>
    <t>05.03.25</t>
  </si>
  <si>
    <t>06.03.25</t>
  </si>
  <si>
    <t>07.03.25</t>
  </si>
  <si>
    <t>10.03.25</t>
  </si>
  <si>
    <t>11.03.25</t>
  </si>
  <si>
    <t>12.03.25</t>
  </si>
  <si>
    <t>13.03.25</t>
  </si>
  <si>
    <t>14.03.25</t>
  </si>
  <si>
    <t>17.03.25</t>
  </si>
  <si>
    <t>18.03.25</t>
  </si>
  <si>
    <t>19.03.25</t>
  </si>
  <si>
    <t>20.03.25</t>
  </si>
  <si>
    <t>21.03.25</t>
  </si>
  <si>
    <t>24.03.25</t>
  </si>
  <si>
    <t>25.03.25</t>
  </si>
  <si>
    <t>26.03.25</t>
  </si>
  <si>
    <t>27.03.25</t>
  </si>
  <si>
    <t>28.03.25</t>
  </si>
  <si>
    <t>01.04.25</t>
  </si>
  <si>
    <t>02.04.25</t>
  </si>
  <si>
    <t>03.04.25</t>
  </si>
  <si>
    <t>04.04.25</t>
  </si>
  <si>
    <t>07.04.25</t>
  </si>
  <si>
    <t>08.04.25</t>
  </si>
  <si>
    <t>09.04.25</t>
  </si>
  <si>
    <t>10.04.25</t>
  </si>
  <si>
    <t>11.04.25</t>
  </si>
  <si>
    <t>14.04.25</t>
  </si>
  <si>
    <t>15.04.25</t>
  </si>
  <si>
    <t>16.04.25</t>
  </si>
  <si>
    <t>17.04.25</t>
  </si>
  <si>
    <t>18.04.25</t>
  </si>
  <si>
    <t>21.04.25</t>
  </si>
  <si>
    <t>22.04.25</t>
  </si>
  <si>
    <t>23.04.25</t>
  </si>
  <si>
    <t>25.04.25</t>
  </si>
  <si>
    <t>28.04.25</t>
  </si>
  <si>
    <t>29.04.25</t>
  </si>
  <si>
    <t>02.05.25</t>
  </si>
  <si>
    <t>05.05.25</t>
  </si>
  <si>
    <t>06.05.25</t>
  </si>
  <si>
    <t>07.05.25</t>
  </si>
  <si>
    <t>08.05.25</t>
  </si>
  <si>
    <t>12.05.25</t>
  </si>
  <si>
    <t>13.05.25</t>
  </si>
  <si>
    <t>14.05.25</t>
  </si>
  <si>
    <t>15.05.25</t>
  </si>
  <si>
    <t>16.05.25</t>
  </si>
  <si>
    <t>19.05.25</t>
  </si>
  <si>
    <t>20.05.25</t>
  </si>
  <si>
    <t>21.05.25</t>
  </si>
  <si>
    <t>22.05.25</t>
  </si>
  <si>
    <t>23.05.25</t>
  </si>
  <si>
    <t>26.05.25</t>
  </si>
  <si>
    <t>27.05.25</t>
  </si>
  <si>
    <t>29.05.25</t>
  </si>
  <si>
    <t>02.06.25</t>
  </si>
  <si>
    <t>03.06.25</t>
  </si>
  <si>
    <t>04.06.25</t>
  </si>
  <si>
    <t>05.06.25</t>
  </si>
  <si>
    <t>06.06.25</t>
  </si>
  <si>
    <t>09.06.25</t>
  </si>
  <si>
    <t>10.06.25</t>
  </si>
  <si>
    <t>11.06.25</t>
  </si>
  <si>
    <t>12.06.25</t>
  </si>
  <si>
    <t>13.06.25</t>
  </si>
  <si>
    <t>16.06.25</t>
  </si>
  <si>
    <t>17.06.25</t>
  </si>
  <si>
    <t>18.06.25</t>
  </si>
  <si>
    <t>19.06.25</t>
  </si>
  <si>
    <t>20.06.25</t>
  </si>
  <si>
    <t>23.06.25</t>
  </si>
  <si>
    <t>24.06.25</t>
  </si>
  <si>
    <t>25.06.25</t>
  </si>
  <si>
    <t>26.06.25</t>
  </si>
  <si>
    <t>27.06.25</t>
  </si>
  <si>
    <t>01.07.25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</si>
</sst>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2]* #,##0.00_);_([$€-2]* \(#,##0.00\);_([$€-2]* &quot;-&quot;??_)"/>
  </numFmts>
  <fonts count="47" x14ac:knownFonts="1">
    <font>
      <sz val="10"/>
      <name val="Arial"/>
    </font>
    <font>
      <sz val="10"/>
      <name val="Arial"/>
      <family val="2"/>
    </font>
    <font>
      <sz val="11"/>
      <color indexed="8"/>
      <name val="GHEA Grapalat"/>
      <family val="3"/>
    </font>
    <font>
      <sz val="11"/>
      <name val="GHEA Grapalat"/>
      <family val="3"/>
    </font>
    <font>
      <sz val="11"/>
      <color indexed="9"/>
      <name val="GHEA Grapalat"/>
      <family val="3"/>
    </font>
    <font>
      <sz val="11"/>
      <color indexed="8"/>
      <name val="Times Armenian"/>
      <family val="2"/>
    </font>
    <font>
      <sz val="11"/>
      <color indexed="9"/>
      <name val="Times Armenian"/>
      <family val="2"/>
    </font>
    <font>
      <i/>
      <sz val="11"/>
      <color indexed="23"/>
      <name val="Times Armenian"/>
      <family val="2"/>
    </font>
    <font>
      <b/>
      <sz val="18"/>
      <color indexed="62"/>
      <name val="Cambria"/>
      <family val="2"/>
    </font>
    <font>
      <sz val="10"/>
      <name val="Times Armenian"/>
      <family val="1"/>
    </font>
    <font>
      <sz val="10"/>
      <name val="Times Armenian"/>
      <family val="1"/>
    </font>
    <font>
      <sz val="10"/>
      <name val="MS Sans Serif"/>
      <family val="2"/>
    </font>
    <font>
      <sz val="11"/>
      <color indexed="9"/>
      <name val="Calibri"/>
      <family val="2"/>
      <charset val="204"/>
    </font>
    <font>
      <sz val="11"/>
      <color indexed="8"/>
      <name val="Calibri"/>
      <family val="2"/>
      <charset val="204"/>
    </font>
    <font>
      <sz val="11"/>
      <color indexed="16"/>
      <name val="Calibri"/>
      <family val="2"/>
      <charset val="204"/>
    </font>
    <font>
      <sz val="12"/>
      <name val="Tms Rmn"/>
    </font>
    <font>
      <b/>
      <sz val="11"/>
      <color indexed="19"/>
      <name val="Calibri"/>
      <family val="2"/>
      <charset val="204"/>
    </font>
    <font>
      <b/>
      <sz val="11"/>
      <color indexed="9"/>
      <name val="Calibri"/>
      <family val="2"/>
      <charset val="204"/>
    </font>
    <font>
      <sz val="10"/>
      <name val="Times New Roman"/>
      <family val="1"/>
    </font>
    <font>
      <b/>
      <sz val="11"/>
      <color indexed="8"/>
      <name val="Calibri"/>
      <family val="2"/>
      <charset val="204"/>
    </font>
    <font>
      <sz val="10"/>
      <name val="Arial Armenian"/>
      <family val="2"/>
    </font>
    <font>
      <sz val="11"/>
      <color indexed="17"/>
      <name val="Calibri"/>
      <family val="2"/>
      <charset val="204"/>
    </font>
    <font>
      <b/>
      <sz val="15"/>
      <color indexed="62"/>
      <name val="Calibri"/>
      <family val="2"/>
      <charset val="204"/>
    </font>
    <font>
      <b/>
      <sz val="13"/>
      <color indexed="62"/>
      <name val="Calibri"/>
      <family val="2"/>
      <charset val="204"/>
    </font>
    <font>
      <b/>
      <sz val="11"/>
      <color indexed="62"/>
      <name val="Calibri"/>
      <family val="2"/>
      <charset val="204"/>
    </font>
    <font>
      <sz val="11"/>
      <color indexed="63"/>
      <name val="Calibri"/>
      <family val="2"/>
      <charset val="204"/>
    </font>
    <font>
      <sz val="11"/>
      <color indexed="19"/>
      <name val="Calibri"/>
      <family val="2"/>
      <charset val="204"/>
    </font>
    <font>
      <sz val="7"/>
      <name val="Small Fonts"/>
      <family val="2"/>
    </font>
    <font>
      <b/>
      <sz val="11"/>
      <color indexed="63"/>
      <name val="Calibri"/>
      <family val="2"/>
      <charset val="204"/>
    </font>
    <font>
      <b/>
      <sz val="18"/>
      <color indexed="62"/>
      <name val="Cambria"/>
      <family val="2"/>
      <charset val="204"/>
    </font>
    <font>
      <sz val="11"/>
      <color indexed="10"/>
      <name val="Calibri"/>
      <family val="2"/>
      <charset val="204"/>
    </font>
    <font>
      <vertAlign val="superscript"/>
      <sz val="11"/>
      <name val="GHEA Grapalat"/>
      <family val="3"/>
    </font>
    <font>
      <b/>
      <sz val="11"/>
      <name val="GHEA Grapalat"/>
      <family val="3"/>
    </font>
    <font>
      <b/>
      <sz val="11"/>
      <color indexed="8"/>
      <name val="GHEA Grapalat"/>
      <family val="3"/>
    </font>
    <font>
      <i/>
      <sz val="11"/>
      <color indexed="8"/>
      <name val="GHEA Grapalat"/>
      <family val="3"/>
    </font>
    <font>
      <sz val="11"/>
      <name val="Arial Armenian"/>
      <family val="2"/>
    </font>
    <font>
      <sz val="11"/>
      <color indexed="8"/>
      <name val="Arial Armenian"/>
      <family val="2"/>
    </font>
    <font>
      <sz val="11"/>
      <color theme="1"/>
      <name val="Times Armenian"/>
      <family val="2"/>
    </font>
    <font>
      <sz val="11"/>
      <color theme="0"/>
      <name val="Times Armenian"/>
      <family val="2"/>
    </font>
    <font>
      <b/>
      <sz val="11"/>
      <name val="Arial Armenian"/>
      <family val="2"/>
    </font>
    <font>
      <b/>
      <sz val="11"/>
      <color indexed="8"/>
      <name val="Arial Armenian"/>
      <family val="2"/>
    </font>
    <font>
      <b/>
      <sz val="10"/>
      <name val="GHEA Grapalat"/>
      <family val="3"/>
    </font>
    <font>
      <sz val="10"/>
      <name val="GHEA Grapalat"/>
      <family val="3"/>
    </font>
    <font>
      <b/>
      <vertAlign val="superscript"/>
      <sz val="11"/>
      <name val="GHEA Grapalat"/>
      <family val="3"/>
    </font>
    <font>
      <b/>
      <i/>
      <sz val="10"/>
      <name val="GHEA Grapalat"/>
      <family val="3"/>
    </font>
    <font>
      <u/>
      <sz val="10"/>
      <color theme="10"/>
      <name val="Arial"/>
      <family val="2"/>
    </font>
    <font>
      <sz val="11"/>
      <name val="Sylfaen"/>
      <family val="1"/>
    </font>
  </fonts>
  <fills count="32">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47"/>
        <bgColor indexed="47"/>
      </patternFill>
    </fill>
    <fill>
      <patternFill patternType="solid">
        <fgColor indexed="44"/>
        <bgColor indexed="44"/>
      </patternFill>
    </fill>
    <fill>
      <patternFill patternType="solid">
        <fgColor indexed="27"/>
        <bgColor indexed="27"/>
      </patternFill>
    </fill>
    <fill>
      <patternFill patternType="solid">
        <fgColor indexed="30"/>
        <bgColor indexed="30"/>
      </patternFill>
    </fill>
    <fill>
      <patternFill patternType="solid">
        <fgColor indexed="22"/>
        <bgColor indexed="22"/>
      </patternFill>
    </fill>
    <fill>
      <patternFill patternType="solid">
        <fgColor indexed="55"/>
        <bgColor indexed="55"/>
      </patternFill>
    </fill>
    <fill>
      <patternFill patternType="solid">
        <fgColor indexed="53"/>
        <bgColor indexed="53"/>
      </patternFill>
    </fill>
    <fill>
      <patternFill patternType="solid">
        <fgColor indexed="51"/>
        <bgColor indexed="51"/>
      </patternFill>
    </fill>
    <fill>
      <patternFill patternType="solid">
        <fgColor indexed="45"/>
        <bgColor indexed="45"/>
      </patternFill>
    </fill>
    <fill>
      <patternFill patternType="solid">
        <fgColor indexed="54"/>
        <bgColor indexed="5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29"/>
        <bgColor indexed="29"/>
      </patternFill>
    </fill>
    <fill>
      <patternFill patternType="solid">
        <fgColor indexed="9"/>
        <bgColor indexed="9"/>
      </patternFill>
    </fill>
    <fill>
      <patternFill patternType="lightUp">
        <fgColor indexed="9"/>
        <bgColor indexed="55"/>
      </patternFill>
    </fill>
    <fill>
      <patternFill patternType="lightUp">
        <fgColor indexed="9"/>
        <bgColor indexed="53"/>
      </patternFill>
    </fill>
    <fill>
      <patternFill patternType="lightUp">
        <fgColor indexed="9"/>
        <bgColor indexed="22"/>
      </patternFill>
    </fill>
    <fill>
      <patternFill patternType="solid">
        <fgColor indexed="42"/>
        <bgColor indexed="42"/>
      </patternFill>
    </fill>
    <fill>
      <patternFill patternType="solid">
        <fgColor theme="4" tint="0.79998168889431442"/>
        <bgColor indexed="65"/>
      </patternFill>
    </fill>
    <fill>
      <patternFill patternType="solid">
        <fgColor theme="4" tint="0.39997558519241921"/>
        <bgColor indexed="65"/>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30"/>
      </bottom>
      <diagonal/>
    </border>
    <border>
      <left/>
      <right/>
      <top/>
      <bottom style="thick">
        <color indexed="44"/>
      </bottom>
      <diagonal/>
    </border>
    <border>
      <left/>
      <right/>
      <top/>
      <bottom style="medium">
        <color indexed="27"/>
      </bottom>
      <diagonal/>
    </border>
    <border>
      <left/>
      <right/>
      <top/>
      <bottom style="double">
        <color indexed="2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30"/>
      </top>
      <bottom style="double">
        <color indexed="3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s>
  <cellStyleXfs count="122">
    <xf numFmtId="0" fontId="0" fillId="0" borderId="0"/>
    <xf numFmtId="6" fontId="11" fillId="0" borderId="0" applyFont="0" applyFill="0" applyBorder="0" applyAlignment="0" applyProtection="0"/>
    <xf numFmtId="6" fontId="11" fillId="0" borderId="0" applyFont="0" applyFill="0" applyBorder="0" applyAlignment="0" applyProtection="0"/>
    <xf numFmtId="0" fontId="37" fillId="30"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4" borderId="0" applyNumberFormat="0" applyBorder="0" applyAlignment="0" applyProtection="0"/>
    <xf numFmtId="0" fontId="38" fillId="3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3"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3" fillId="11" borderId="0" applyNumberFormat="0" applyBorder="0" applyAlignment="0" applyProtection="0"/>
    <xf numFmtId="0" fontId="13"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3" fillId="11" borderId="0" applyNumberFormat="0" applyBorder="0" applyAlignment="0" applyProtection="0"/>
    <xf numFmtId="0" fontId="13" fillId="15"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3" fillId="11" borderId="0" applyNumberFormat="0" applyBorder="0" applyAlignment="0" applyProtection="0"/>
    <xf numFmtId="0" fontId="13" fillId="13" borderId="0" applyNumberFormat="0" applyBorder="0" applyAlignment="0" applyProtection="0"/>
    <xf numFmtId="0" fontId="12" fillId="13" borderId="0" applyNumberFormat="0" applyBorder="0" applyAlignment="0" applyProtection="0"/>
    <xf numFmtId="0" fontId="12" fillId="21" borderId="0" applyNumberFormat="0" applyBorder="0" applyAlignment="0" applyProtection="0"/>
    <xf numFmtId="0" fontId="13" fillId="11" borderId="0" applyNumberFormat="0" applyBorder="0" applyAlignment="0" applyProtection="0"/>
    <xf numFmtId="0" fontId="13"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6" fontId="11" fillId="0" borderId="0" applyFont="0" applyFill="0" applyBorder="0" applyAlignment="0" applyProtection="0"/>
    <xf numFmtId="0" fontId="14" fillId="22" borderId="0" applyNumberFormat="0" applyBorder="0" applyAlignment="0" applyProtection="0"/>
    <xf numFmtId="0" fontId="15" fillId="0" borderId="0" applyNumberFormat="0" applyFill="0" applyBorder="0" applyAlignment="0" applyProtection="0"/>
    <xf numFmtId="0" fontId="16" fillId="25" borderId="1" applyNumberFormat="0" applyAlignment="0" applyProtection="0"/>
    <xf numFmtId="0" fontId="17" fillId="16" borderId="2"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165" fontId="20" fillId="0" borderId="0" applyFont="0" applyFill="0" applyBorder="0" applyAlignment="0" applyProtection="0"/>
    <xf numFmtId="0" fontId="7" fillId="0" borderId="0" applyNumberFormat="0" applyFill="0" applyBorder="0" applyAlignment="0" applyProtection="0"/>
    <xf numFmtId="0" fontId="21" fillId="29" borderId="0" applyNumberFormat="0" applyBorder="0" applyAlignment="0" applyProtection="0"/>
    <xf numFmtId="0" fontId="22" fillId="0" borderId="3" applyNumberFormat="0" applyFill="0" applyAlignment="0" applyProtection="0"/>
    <xf numFmtId="0" fontId="23" fillId="0" borderId="4" applyNumberFormat="0" applyFill="0" applyAlignment="0" applyProtection="0"/>
    <xf numFmtId="0" fontId="24" fillId="0" borderId="5" applyNumberFormat="0" applyFill="0" applyAlignment="0" applyProtection="0"/>
    <xf numFmtId="0" fontId="24" fillId="0" borderId="0" applyNumberFormat="0" applyFill="0" applyBorder="0" applyAlignment="0" applyProtection="0"/>
    <xf numFmtId="0" fontId="9" fillId="0" borderId="0"/>
    <xf numFmtId="0" fontId="25" fillId="23" borderId="1" applyNumberFormat="0" applyAlignment="0" applyProtection="0"/>
    <xf numFmtId="0" fontId="26" fillId="0" borderId="6" applyNumberFormat="0" applyFill="0" applyAlignment="0" applyProtection="0"/>
    <xf numFmtId="0" fontId="1" fillId="0" borderId="0" applyFont="0" applyFill="0" applyBorder="0" applyAlignment="0" applyProtection="0"/>
    <xf numFmtId="0" fontId="1" fillId="0" borderId="0" applyFont="0" applyFill="0" applyBorder="0" applyAlignment="0" applyProtection="0"/>
    <xf numFmtId="0" fontId="26" fillId="23" borderId="0" applyNumberFormat="0" applyBorder="0" applyAlignment="0" applyProtection="0"/>
    <xf numFmtId="37" fontId="27"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0" fillId="0" borderId="0"/>
    <xf numFmtId="0" fontId="9" fillId="0" borderId="0"/>
    <xf numFmtId="0" fontId="5" fillId="0" borderId="0"/>
    <xf numFmtId="0" fontId="5" fillId="0" borderId="0"/>
    <xf numFmtId="0" fontId="5" fillId="0" borderId="0"/>
    <xf numFmtId="0" fontId="20" fillId="22" borderId="7" applyNumberFormat="0" applyFont="0" applyAlignment="0" applyProtection="0"/>
    <xf numFmtId="0" fontId="28" fillId="25" borderId="8" applyNumberFormat="0" applyAlignment="0" applyProtection="0"/>
    <xf numFmtId="9" fontId="9" fillId="0" borderId="0" applyFont="0" applyFill="0" applyBorder="0" applyAlignment="0" applyProtection="0"/>
    <xf numFmtId="9" fontId="9" fillId="0" borderId="0" applyFont="0" applyFill="0" applyBorder="0" applyAlignment="0" applyProtection="0"/>
    <xf numFmtId="0" fontId="29" fillId="0" borderId="0" applyNumberFormat="0" applyFill="0" applyBorder="0" applyAlignment="0" applyProtection="0"/>
    <xf numFmtId="0" fontId="1" fillId="0" borderId="0"/>
    <xf numFmtId="0" fontId="1" fillId="0" borderId="0"/>
    <xf numFmtId="6" fontId="11" fillId="0" borderId="0" applyFont="0" applyFill="0" applyBorder="0" applyAlignment="0" applyProtection="0"/>
    <xf numFmtId="0" fontId="8" fillId="0" borderId="0" applyNumberFormat="0" applyFill="0" applyBorder="0" applyAlignment="0" applyProtection="0"/>
    <xf numFmtId="0" fontId="19" fillId="0" borderId="9" applyNumberFormat="0" applyFill="0" applyAlignment="0" applyProtection="0"/>
    <xf numFmtId="0"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30" fillId="0" borderId="0" applyNumberFormat="0" applyFill="0" applyBorder="0" applyAlignment="0" applyProtection="0"/>
    <xf numFmtId="0" fontId="45" fillId="0" borderId="0" applyNumberFormat="0" applyFill="0" applyBorder="0" applyAlignment="0" applyProtection="0"/>
  </cellStyleXfs>
  <cellXfs count="29">
    <xf numFmtId="0" fontId="0" fillId="0" borderId="0" xfId="0"/>
    <xf numFmtId="0" fontId="2" fillId="0" borderId="10" xfId="3" applyNumberFormat="1" applyFont="1" applyFill="1" applyBorder="1" applyAlignment="1">
      <alignment wrapText="1"/>
    </xf>
    <xf numFmtId="0" fontId="3" fillId="0" borderId="10" xfId="0" applyNumberFormat="1" applyFont="1" applyFill="1" applyBorder="1" applyAlignment="1">
      <alignment wrapText="1"/>
    </xf>
    <xf numFmtId="0" fontId="4" fillId="0" borderId="10" xfId="16" applyFont="1" applyFill="1" applyBorder="1"/>
    <xf numFmtId="0" fontId="3" fillId="0" borderId="0" xfId="0" applyNumberFormat="1" applyFont="1" applyFill="1" applyBorder="1" applyAlignment="1">
      <alignment wrapText="1"/>
    </xf>
    <xf numFmtId="0" fontId="3" fillId="0" borderId="11" xfId="0" applyNumberFormat="1" applyFont="1" applyFill="1" applyBorder="1" applyAlignment="1">
      <alignment wrapText="1"/>
    </xf>
    <xf numFmtId="0" fontId="32" fillId="0" borderId="11" xfId="0" applyNumberFormat="1" applyFont="1" applyFill="1" applyBorder="1" applyAlignment="1">
      <alignment horizontal="center" vertical="center"/>
    </xf>
    <xf numFmtId="0" fontId="3" fillId="0" borderId="0" xfId="0" applyFont="1" applyBorder="1"/>
    <xf numFmtId="0" fontId="3" fillId="0" borderId="0" xfId="0" applyFont="1" applyBorder="1" applyAlignment="1">
      <alignment horizontal="centerContinuous"/>
    </xf>
    <xf numFmtId="0" fontId="34" fillId="0" borderId="0" xfId="0" applyFont="1" applyBorder="1" applyAlignment="1">
      <alignment horizontal="left"/>
    </xf>
    <xf numFmtId="15" fontId="32" fillId="0" borderId="10" xfId="0" applyNumberFormat="1" applyFont="1" applyBorder="1" applyAlignment="1">
      <alignment horizontal="center"/>
    </xf>
    <xf numFmtId="0" fontId="2" fillId="0" borderId="10" xfId="0" applyFont="1" applyFill="1" applyBorder="1"/>
    <xf numFmtId="0" fontId="3" fillId="0" borderId="10" xfId="0" applyFont="1" applyBorder="1"/>
    <xf numFmtId="164" fontId="35" fillId="0" borderId="10" xfId="52" applyNumberFormat="1" applyFont="1" applyFill="1" applyBorder="1"/>
    <xf numFmtId="164" fontId="36" fillId="0" borderId="10" xfId="52" applyNumberFormat="1" applyFont="1" applyFill="1" applyBorder="1" applyAlignment="1">
      <alignment horizontal="right"/>
    </xf>
    <xf numFmtId="164" fontId="2" fillId="0" borderId="12" xfId="52" quotePrefix="1" applyNumberFormat="1" applyFont="1" applyBorder="1" applyAlignment="1">
      <alignment vertical="center"/>
    </xf>
    <xf numFmtId="164" fontId="3" fillId="0" borderId="10" xfId="52" applyNumberFormat="1" applyFont="1" applyBorder="1"/>
    <xf numFmtId="0" fontId="33" fillId="0" borderId="0" xfId="0" applyNumberFormat="1" applyFont="1" applyAlignment="1">
      <alignment horizontal="left"/>
    </xf>
    <xf numFmtId="0" fontId="3" fillId="0" borderId="0" xfId="0" applyFont="1"/>
    <xf numFmtId="0" fontId="33" fillId="0" borderId="10" xfId="3" applyNumberFormat="1" applyFont="1" applyFill="1" applyBorder="1" applyAlignment="1">
      <alignment wrapText="1"/>
    </xf>
    <xf numFmtId="164" fontId="39" fillId="0" borderId="10" xfId="52" applyNumberFormat="1" applyFont="1" applyFill="1" applyBorder="1"/>
    <xf numFmtId="0" fontId="32" fillId="0" borderId="0" xfId="0" applyFont="1" applyBorder="1"/>
    <xf numFmtId="164" fontId="40" fillId="0" borderId="10" xfId="52" applyNumberFormat="1" applyFont="1" applyFill="1" applyBorder="1" applyAlignment="1">
      <alignment horizontal="right"/>
    </xf>
    <xf numFmtId="0" fontId="41" fillId="0" borderId="0" xfId="0" applyFont="1"/>
    <xf numFmtId="0" fontId="42" fillId="0" borderId="0" xfId="0" applyFont="1"/>
    <xf numFmtId="0" fontId="44" fillId="0" borderId="0" xfId="0" applyFont="1" applyAlignment="1">
      <alignment vertical="top" wrapText="1"/>
    </xf>
    <xf numFmtId="0" fontId="45" fillId="0" borderId="0" xfId="121" applyFill="1" applyBorder="1"/>
    <xf numFmtId="3" fontId="46" fillId="0" borderId="13" xfId="52" applyNumberFormat="1" applyFont="1" applyFill="1" applyBorder="1"/>
    <xf numFmtId="3" fontId="46" fillId="0" borderId="10" xfId="52" applyNumberFormat="1" applyFont="1" applyFill="1" applyBorder="1"/>
  </cellXfs>
  <cellStyles count="122">
    <cellStyle name=" Verticals" xfId="1" xr:uid="{00000000-0005-0000-0000-000000000000}"/>
    <cellStyle name="_1_²ÜºÈÆø" xfId="2" xr:uid="{00000000-0005-0000-0000-000001000000}"/>
    <cellStyle name="20% - Accent1" xfId="3" builtinId="30"/>
    <cellStyle name="20% - Accent1 2" xfId="4" xr:uid="{00000000-0005-0000-0000-000003000000}"/>
    <cellStyle name="20% - Accent2 2" xfId="5" xr:uid="{00000000-0005-0000-0000-000004000000}"/>
    <cellStyle name="20% - Accent3 2" xfId="6" xr:uid="{00000000-0005-0000-0000-000005000000}"/>
    <cellStyle name="20% - Accent4 2" xfId="7" xr:uid="{00000000-0005-0000-0000-000006000000}"/>
    <cellStyle name="20% - Accent5 2" xfId="8" xr:uid="{00000000-0005-0000-0000-000007000000}"/>
    <cellStyle name="20% - Accent6 2" xfId="9" xr:uid="{00000000-0005-0000-0000-000008000000}"/>
    <cellStyle name="40% - Accent1 2" xfId="10" xr:uid="{00000000-0005-0000-0000-000009000000}"/>
    <cellStyle name="40% - Accent2 2" xfId="11" xr:uid="{00000000-0005-0000-0000-00000A000000}"/>
    <cellStyle name="40% - Accent3 2" xfId="12" xr:uid="{00000000-0005-0000-0000-00000B000000}"/>
    <cellStyle name="40% - Accent4 2" xfId="13" xr:uid="{00000000-0005-0000-0000-00000C000000}"/>
    <cellStyle name="40% - Accent5 2" xfId="14" xr:uid="{00000000-0005-0000-0000-00000D000000}"/>
    <cellStyle name="40% - Accent6 2" xfId="15" xr:uid="{00000000-0005-0000-0000-00000E000000}"/>
    <cellStyle name="60% - Accent1" xfId="16" builtinId="32"/>
    <cellStyle name="60% - Accent1 2" xfId="17" xr:uid="{00000000-0005-0000-0000-000010000000}"/>
    <cellStyle name="60% - Accent2 2" xfId="18" xr:uid="{00000000-0005-0000-0000-000011000000}"/>
    <cellStyle name="60% - Accent3 2" xfId="19" xr:uid="{00000000-0005-0000-0000-000012000000}"/>
    <cellStyle name="60% - Accent4 2" xfId="20" xr:uid="{00000000-0005-0000-0000-000013000000}"/>
    <cellStyle name="60% - Accent5 2" xfId="21" xr:uid="{00000000-0005-0000-0000-000014000000}"/>
    <cellStyle name="60% - Accent6 2" xfId="22" xr:uid="{00000000-0005-0000-0000-000015000000}"/>
    <cellStyle name="Accent1 - 20%" xfId="23" xr:uid="{00000000-0005-0000-0000-000016000000}"/>
    <cellStyle name="Accent1 - 40%" xfId="24" xr:uid="{00000000-0005-0000-0000-000017000000}"/>
    <cellStyle name="Accent1 - 60%" xfId="25" xr:uid="{00000000-0005-0000-0000-000018000000}"/>
    <cellStyle name="Accent1 2" xfId="26" xr:uid="{00000000-0005-0000-0000-000019000000}"/>
    <cellStyle name="Accent2 - 20%" xfId="27" xr:uid="{00000000-0005-0000-0000-00001A000000}"/>
    <cellStyle name="Accent2 - 40%" xfId="28" xr:uid="{00000000-0005-0000-0000-00001B000000}"/>
    <cellStyle name="Accent2 - 60%" xfId="29" xr:uid="{00000000-0005-0000-0000-00001C000000}"/>
    <cellStyle name="Accent2 2" xfId="30" xr:uid="{00000000-0005-0000-0000-00001D000000}"/>
    <cellStyle name="Accent3 - 20%" xfId="31" xr:uid="{00000000-0005-0000-0000-00001E000000}"/>
    <cellStyle name="Accent3 - 40%" xfId="32" xr:uid="{00000000-0005-0000-0000-00001F000000}"/>
    <cellStyle name="Accent3 - 60%" xfId="33" xr:uid="{00000000-0005-0000-0000-000020000000}"/>
    <cellStyle name="Accent3 2" xfId="34" xr:uid="{00000000-0005-0000-0000-000021000000}"/>
    <cellStyle name="Accent4 - 20%" xfId="35" xr:uid="{00000000-0005-0000-0000-000022000000}"/>
    <cellStyle name="Accent4 - 40%" xfId="36" xr:uid="{00000000-0005-0000-0000-000023000000}"/>
    <cellStyle name="Accent4 - 60%" xfId="37" xr:uid="{00000000-0005-0000-0000-000024000000}"/>
    <cellStyle name="Accent4 2" xfId="38" xr:uid="{00000000-0005-0000-0000-000025000000}"/>
    <cellStyle name="Accent5 - 20%" xfId="39" xr:uid="{00000000-0005-0000-0000-000026000000}"/>
    <cellStyle name="Accent5 - 40%" xfId="40" xr:uid="{00000000-0005-0000-0000-000027000000}"/>
    <cellStyle name="Accent5 - 60%" xfId="41" xr:uid="{00000000-0005-0000-0000-000028000000}"/>
    <cellStyle name="Accent5 2" xfId="42" xr:uid="{00000000-0005-0000-0000-000029000000}"/>
    <cellStyle name="Accent6 - 20%" xfId="43" xr:uid="{00000000-0005-0000-0000-00002A000000}"/>
    <cellStyle name="Accent6 - 40%" xfId="44" xr:uid="{00000000-0005-0000-0000-00002B000000}"/>
    <cellStyle name="Accent6 - 60%" xfId="45" xr:uid="{00000000-0005-0000-0000-00002C000000}"/>
    <cellStyle name="Accent6 2" xfId="46" xr:uid="{00000000-0005-0000-0000-00002D000000}"/>
    <cellStyle name="al_laroux_7_laroux_1_²ðò²Ê´²ÜÎ" xfId="47" xr:uid="{00000000-0005-0000-0000-00002E000000}"/>
    <cellStyle name="Bad 2" xfId="48" xr:uid="{00000000-0005-0000-0000-00002F000000}"/>
    <cellStyle name="Body" xfId="49" xr:uid="{00000000-0005-0000-0000-000030000000}"/>
    <cellStyle name="Calculation 2" xfId="50" xr:uid="{00000000-0005-0000-0000-000031000000}"/>
    <cellStyle name="Check Cell 2" xfId="51" xr:uid="{00000000-0005-0000-0000-000032000000}"/>
    <cellStyle name="Comma" xfId="52" builtinId="3"/>
    <cellStyle name="Comma 2" xfId="53" xr:uid="{00000000-0005-0000-0000-000034000000}"/>
    <cellStyle name="Comma 3" xfId="54" xr:uid="{00000000-0005-0000-0000-000035000000}"/>
    <cellStyle name="Dezimal [0]_laroux" xfId="55" xr:uid="{00000000-0005-0000-0000-000036000000}"/>
    <cellStyle name="Dezimal_laroux" xfId="56" xr:uid="{00000000-0005-0000-0000-000037000000}"/>
    <cellStyle name="Emphasis 1" xfId="57" xr:uid="{00000000-0005-0000-0000-000038000000}"/>
    <cellStyle name="Emphasis 2" xfId="58" xr:uid="{00000000-0005-0000-0000-000039000000}"/>
    <cellStyle name="Emphasis 3" xfId="59" xr:uid="{00000000-0005-0000-0000-00003A000000}"/>
    <cellStyle name="Euro" xfId="60" xr:uid="{00000000-0005-0000-0000-00003B000000}"/>
    <cellStyle name="Explanatory Text 2" xfId="61" xr:uid="{00000000-0005-0000-0000-00003C000000}"/>
    <cellStyle name="Good 2" xfId="62" xr:uid="{00000000-0005-0000-0000-00003D000000}"/>
    <cellStyle name="Heading 1 2" xfId="63" xr:uid="{00000000-0005-0000-0000-00003E000000}"/>
    <cellStyle name="Heading 2 2" xfId="64" xr:uid="{00000000-0005-0000-0000-00003F000000}"/>
    <cellStyle name="Heading 3 2" xfId="65" xr:uid="{00000000-0005-0000-0000-000040000000}"/>
    <cellStyle name="Heading 4 2" xfId="66" xr:uid="{00000000-0005-0000-0000-000041000000}"/>
    <cellStyle name="Hyperlink" xfId="121" builtinId="8"/>
    <cellStyle name="Îáû÷íûé_AMD" xfId="67" xr:uid="{00000000-0005-0000-0000-000043000000}"/>
    <cellStyle name="Input 2" xfId="68" xr:uid="{00000000-0005-0000-0000-000044000000}"/>
    <cellStyle name="Linked Cell 2" xfId="69" xr:uid="{00000000-0005-0000-0000-000045000000}"/>
    <cellStyle name="Milliers [0]_laroux" xfId="70" xr:uid="{00000000-0005-0000-0000-000046000000}"/>
    <cellStyle name="Milliers_laroux" xfId="71" xr:uid="{00000000-0005-0000-0000-000047000000}"/>
    <cellStyle name="Neutral 2" xfId="72" xr:uid="{00000000-0005-0000-0000-000048000000}"/>
    <cellStyle name="no dec" xfId="73" xr:uid="{00000000-0005-0000-0000-000049000000}"/>
    <cellStyle name="Normal" xfId="0" builtinId="0"/>
    <cellStyle name="Normal - Style1" xfId="74" xr:uid="{00000000-0005-0000-0000-00004B000000}"/>
    <cellStyle name="Normal 10" xfId="75" xr:uid="{00000000-0005-0000-0000-00004C000000}"/>
    <cellStyle name="Normal 10 2" xfId="76" xr:uid="{00000000-0005-0000-0000-00004D000000}"/>
    <cellStyle name="Normal 11" xfId="77" xr:uid="{00000000-0005-0000-0000-00004E000000}"/>
    <cellStyle name="Normal 11 2" xfId="78" xr:uid="{00000000-0005-0000-0000-00004F000000}"/>
    <cellStyle name="Normal 12" xfId="79" xr:uid="{00000000-0005-0000-0000-000050000000}"/>
    <cellStyle name="Normal 12 2" xfId="80" xr:uid="{00000000-0005-0000-0000-000051000000}"/>
    <cellStyle name="Normal 13" xfId="81" xr:uid="{00000000-0005-0000-0000-000052000000}"/>
    <cellStyle name="Normal 13 2" xfId="82" xr:uid="{00000000-0005-0000-0000-000053000000}"/>
    <cellStyle name="Normal 14" xfId="83" xr:uid="{00000000-0005-0000-0000-000054000000}"/>
    <cellStyle name="Normal 14 2" xfId="84" xr:uid="{00000000-0005-0000-0000-000055000000}"/>
    <cellStyle name="Normal 16" xfId="85" xr:uid="{00000000-0005-0000-0000-000056000000}"/>
    <cellStyle name="Normal 17" xfId="86" xr:uid="{00000000-0005-0000-0000-000057000000}"/>
    <cellStyle name="Normal 18" xfId="87" xr:uid="{00000000-0005-0000-0000-000058000000}"/>
    <cellStyle name="Normal 19" xfId="88" xr:uid="{00000000-0005-0000-0000-000059000000}"/>
    <cellStyle name="Normal 2 10" xfId="89" xr:uid="{00000000-0005-0000-0000-00005A000000}"/>
    <cellStyle name="Normal 2 11" xfId="90" xr:uid="{00000000-0005-0000-0000-00005B000000}"/>
    <cellStyle name="Normal 2 2" xfId="91" xr:uid="{00000000-0005-0000-0000-00005C000000}"/>
    <cellStyle name="Normal 2 3" xfId="92" xr:uid="{00000000-0005-0000-0000-00005D000000}"/>
    <cellStyle name="Normal 2 4" xfId="93" xr:uid="{00000000-0005-0000-0000-00005E000000}"/>
    <cellStyle name="Normal 2 5" xfId="94" xr:uid="{00000000-0005-0000-0000-00005F000000}"/>
    <cellStyle name="Normal 2 6" xfId="95" xr:uid="{00000000-0005-0000-0000-000060000000}"/>
    <cellStyle name="Normal 2 7" xfId="96" xr:uid="{00000000-0005-0000-0000-000061000000}"/>
    <cellStyle name="Normal 2 8" xfId="97" xr:uid="{00000000-0005-0000-0000-000062000000}"/>
    <cellStyle name="Normal 2 9" xfId="98" xr:uid="{00000000-0005-0000-0000-000063000000}"/>
    <cellStyle name="Normal 20" xfId="99" xr:uid="{00000000-0005-0000-0000-000064000000}"/>
    <cellStyle name="Normal 21" xfId="100" xr:uid="{00000000-0005-0000-0000-000065000000}"/>
    <cellStyle name="Normal 22" xfId="101" xr:uid="{00000000-0005-0000-0000-000066000000}"/>
    <cellStyle name="Normal 23" xfId="102" xr:uid="{00000000-0005-0000-0000-000067000000}"/>
    <cellStyle name="Normal 3 2" xfId="103" xr:uid="{00000000-0005-0000-0000-000068000000}"/>
    <cellStyle name="Normal 5 2" xfId="104" xr:uid="{00000000-0005-0000-0000-000069000000}"/>
    <cellStyle name="Normal 6 2" xfId="105" xr:uid="{00000000-0005-0000-0000-00006A000000}"/>
    <cellStyle name="Normal 7 2" xfId="106" xr:uid="{00000000-0005-0000-0000-00006B000000}"/>
    <cellStyle name="Note 2" xfId="107" xr:uid="{00000000-0005-0000-0000-00006C000000}"/>
    <cellStyle name="Output 2" xfId="108" xr:uid="{00000000-0005-0000-0000-00006D000000}"/>
    <cellStyle name="Percent 2" xfId="109" xr:uid="{00000000-0005-0000-0000-00006E000000}"/>
    <cellStyle name="Percent 3" xfId="110" xr:uid="{00000000-0005-0000-0000-00006F000000}"/>
    <cellStyle name="Sheet Title" xfId="111" xr:uid="{00000000-0005-0000-0000-000070000000}"/>
    <cellStyle name="Standard_laroux" xfId="112" xr:uid="{00000000-0005-0000-0000-000071000000}"/>
    <cellStyle name="Style 1" xfId="113" xr:uid="{00000000-0005-0000-0000-000072000000}"/>
    <cellStyle name="Style 2" xfId="114" xr:uid="{00000000-0005-0000-0000-000073000000}"/>
    <cellStyle name="Title 2" xfId="115" xr:uid="{00000000-0005-0000-0000-000074000000}"/>
    <cellStyle name="Total 2" xfId="116" xr:uid="{00000000-0005-0000-0000-000075000000}"/>
    <cellStyle name="ux" xfId="117" xr:uid="{00000000-0005-0000-0000-000076000000}"/>
    <cellStyle name="Währung [0]_laroux" xfId="118" xr:uid="{00000000-0005-0000-0000-000077000000}"/>
    <cellStyle name="Währung_laroux" xfId="119" xr:uid="{00000000-0005-0000-0000-000078000000}"/>
    <cellStyle name="Warning Text 2" xfId="120" xr:uid="{00000000-0005-0000-0000-00007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a.am/Storage/AM/downloads/karger/%D5%80%D5%A1%D5%BE%D5%A5%D5%AC%D5%BE%D5%A1%D5%AE%D5%B6%D5%A5%D6%80.xls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63"/>
  <sheetViews>
    <sheetView tabSelected="1" zoomScale="60" zoomScaleNormal="60" workbookViewId="0">
      <pane xSplit="1" ySplit="6" topLeftCell="CQ7" activePane="bottomRight" state="frozen"/>
      <selection pane="topRight" activeCell="B1" sqref="B1"/>
      <selection pane="bottomLeft" activeCell="A7" sqref="A7"/>
      <selection pane="bottomRight" activeCell="EP20" sqref="EP20"/>
    </sheetView>
  </sheetViews>
  <sheetFormatPr defaultColWidth="11.5703125" defaultRowHeight="16.5" x14ac:dyDescent="0.3"/>
  <cols>
    <col min="1" max="1" width="55.140625" style="18" customWidth="1"/>
    <col min="2" max="2" width="17.28515625" style="7" bestFit="1" customWidth="1"/>
    <col min="3" max="3" width="16" style="7" customWidth="1"/>
    <col min="4" max="4" width="16" style="7" bestFit="1" customWidth="1"/>
    <col min="5" max="5" width="17.28515625" style="7" bestFit="1" customWidth="1"/>
    <col min="6" max="14" width="16" style="7" bestFit="1" customWidth="1"/>
    <col min="15" max="32" width="16" style="7" hidden="1" customWidth="1"/>
    <col min="33" max="33" width="16" style="7" bestFit="1" customWidth="1"/>
    <col min="34" max="52" width="16" style="7" hidden="1" customWidth="1"/>
    <col min="53" max="53" width="16" style="7" bestFit="1" customWidth="1"/>
    <col min="54" max="73" width="16" style="7" hidden="1" customWidth="1"/>
    <col min="74" max="74" width="16" style="7" bestFit="1" customWidth="1"/>
    <col min="75" max="94" width="16" style="7" hidden="1" customWidth="1"/>
    <col min="95" max="95" width="16" style="7" bestFit="1" customWidth="1"/>
    <col min="96" max="113" width="16" style="7" hidden="1" customWidth="1"/>
    <col min="114" max="114" width="16" style="7" bestFit="1" customWidth="1"/>
    <col min="115" max="134" width="16" style="7" hidden="1" customWidth="1"/>
    <col min="135" max="136" width="16" style="7" bestFit="1" customWidth="1"/>
    <col min="137" max="16384" width="11.5703125" style="7"/>
  </cols>
  <sheetData>
    <row r="1" spans="1:136" s="24" customFormat="1" ht="14.25" x14ac:dyDescent="0.25">
      <c r="A1" s="23" t="s">
        <v>31</v>
      </c>
    </row>
    <row r="2" spans="1:136" s="24" customFormat="1" ht="14.25" x14ac:dyDescent="0.25">
      <c r="A2" s="23" t="s">
        <v>1</v>
      </c>
    </row>
    <row r="3" spans="1:136" ht="7.5" customHeight="1" x14ac:dyDescent="0.3">
      <c r="A3" s="8"/>
    </row>
    <row r="4" spans="1:136" ht="3" customHeight="1" x14ac:dyDescent="0.3">
      <c r="A4" s="9"/>
    </row>
    <row r="5" spans="1:136" ht="17.25" x14ac:dyDescent="0.3">
      <c r="A5" s="3" t="s">
        <v>0</v>
      </c>
      <c r="B5" s="10" t="s">
        <v>27</v>
      </c>
      <c r="C5" s="10">
        <v>45322</v>
      </c>
      <c r="D5" s="10">
        <v>45351</v>
      </c>
      <c r="E5" s="10" t="s">
        <v>28</v>
      </c>
      <c r="F5" s="10">
        <v>45412</v>
      </c>
      <c r="G5" s="10">
        <v>45443</v>
      </c>
      <c r="H5" s="10">
        <v>45471</v>
      </c>
      <c r="I5" s="10">
        <v>45504</v>
      </c>
      <c r="J5" s="10">
        <v>45534</v>
      </c>
      <c r="K5" s="10">
        <v>45565</v>
      </c>
      <c r="L5" s="10">
        <v>45596</v>
      </c>
      <c r="M5" s="10">
        <v>45625</v>
      </c>
      <c r="N5" s="10">
        <v>45656</v>
      </c>
      <c r="O5" s="10" t="s">
        <v>36</v>
      </c>
      <c r="P5" s="10" t="s">
        <v>37</v>
      </c>
      <c r="Q5" s="10" t="s">
        <v>38</v>
      </c>
      <c r="R5" s="10" t="s">
        <v>39</v>
      </c>
      <c r="S5" s="10" t="s">
        <v>40</v>
      </c>
      <c r="T5" s="10" t="s">
        <v>41</v>
      </c>
      <c r="U5" s="10" t="s">
        <v>42</v>
      </c>
      <c r="V5" s="10" t="s">
        <v>43</v>
      </c>
      <c r="W5" s="10" t="s">
        <v>44</v>
      </c>
      <c r="X5" s="10" t="s">
        <v>45</v>
      </c>
      <c r="Y5" s="10" t="s">
        <v>46</v>
      </c>
      <c r="Z5" s="10" t="s">
        <v>47</v>
      </c>
      <c r="AA5" s="10" t="s">
        <v>48</v>
      </c>
      <c r="AB5" s="10" t="s">
        <v>49</v>
      </c>
      <c r="AC5" s="10" t="s">
        <v>50</v>
      </c>
      <c r="AD5" s="10" t="s">
        <v>51</v>
      </c>
      <c r="AE5" s="10" t="s">
        <v>52</v>
      </c>
      <c r="AF5" s="10" t="s">
        <v>53</v>
      </c>
      <c r="AG5" s="10">
        <v>45688</v>
      </c>
      <c r="AH5" s="10" t="s">
        <v>54</v>
      </c>
      <c r="AI5" s="10" t="s">
        <v>55</v>
      </c>
      <c r="AJ5" s="10" t="s">
        <v>56</v>
      </c>
      <c r="AK5" s="10" t="s">
        <v>57</v>
      </c>
      <c r="AL5" s="10" t="s">
        <v>58</v>
      </c>
      <c r="AM5" s="10" t="s">
        <v>59</v>
      </c>
      <c r="AN5" s="10" t="s">
        <v>60</v>
      </c>
      <c r="AO5" s="10" t="s">
        <v>61</v>
      </c>
      <c r="AP5" s="10" t="s">
        <v>62</v>
      </c>
      <c r="AQ5" s="10" t="s">
        <v>63</v>
      </c>
      <c r="AR5" s="10" t="s">
        <v>64</v>
      </c>
      <c r="AS5" s="10" t="s">
        <v>65</v>
      </c>
      <c r="AT5" s="10" t="s">
        <v>66</v>
      </c>
      <c r="AU5" s="10" t="s">
        <v>67</v>
      </c>
      <c r="AV5" s="10" t="s">
        <v>68</v>
      </c>
      <c r="AW5" s="10" t="s">
        <v>69</v>
      </c>
      <c r="AX5" s="10" t="s">
        <v>70</v>
      </c>
      <c r="AY5" s="10" t="s">
        <v>71</v>
      </c>
      <c r="AZ5" s="10" t="s">
        <v>72</v>
      </c>
      <c r="BA5" s="10">
        <v>45716</v>
      </c>
      <c r="BB5" s="10" t="s">
        <v>73</v>
      </c>
      <c r="BC5" s="10" t="s">
        <v>74</v>
      </c>
      <c r="BD5" s="10" t="s">
        <v>75</v>
      </c>
      <c r="BE5" s="10" t="s">
        <v>76</v>
      </c>
      <c r="BF5" s="10" t="s">
        <v>77</v>
      </c>
      <c r="BG5" s="10" t="s">
        <v>78</v>
      </c>
      <c r="BH5" s="10" t="s">
        <v>79</v>
      </c>
      <c r="BI5" s="10" t="s">
        <v>80</v>
      </c>
      <c r="BJ5" s="10" t="s">
        <v>81</v>
      </c>
      <c r="BK5" s="10" t="s">
        <v>82</v>
      </c>
      <c r="BL5" s="10" t="s">
        <v>83</v>
      </c>
      <c r="BM5" s="10" t="s">
        <v>84</v>
      </c>
      <c r="BN5" s="10" t="s">
        <v>85</v>
      </c>
      <c r="BO5" s="10" t="s">
        <v>86</v>
      </c>
      <c r="BP5" s="10" t="s">
        <v>87</v>
      </c>
      <c r="BQ5" s="10" t="s">
        <v>88</v>
      </c>
      <c r="BR5" s="10" t="s">
        <v>89</v>
      </c>
      <c r="BS5" s="10" t="s">
        <v>90</v>
      </c>
      <c r="BT5" s="10" t="s">
        <v>91</v>
      </c>
      <c r="BU5" s="10" t="s">
        <v>92</v>
      </c>
      <c r="BV5" s="10">
        <v>45747</v>
      </c>
      <c r="BW5" s="10" t="s">
        <v>93</v>
      </c>
      <c r="BX5" s="10" t="s">
        <v>94</v>
      </c>
      <c r="BY5" s="10" t="s">
        <v>95</v>
      </c>
      <c r="BZ5" s="10" t="s">
        <v>96</v>
      </c>
      <c r="CA5" s="10" t="s">
        <v>97</v>
      </c>
      <c r="CB5" s="10" t="s">
        <v>98</v>
      </c>
      <c r="CC5" s="10" t="s">
        <v>99</v>
      </c>
      <c r="CD5" s="10" t="s">
        <v>100</v>
      </c>
      <c r="CE5" s="10" t="s">
        <v>101</v>
      </c>
      <c r="CF5" s="10" t="s">
        <v>102</v>
      </c>
      <c r="CG5" s="10" t="s">
        <v>103</v>
      </c>
      <c r="CH5" s="10" t="s">
        <v>104</v>
      </c>
      <c r="CI5" s="10" t="s">
        <v>105</v>
      </c>
      <c r="CJ5" s="10" t="s">
        <v>106</v>
      </c>
      <c r="CK5" s="10" t="s">
        <v>107</v>
      </c>
      <c r="CL5" s="10" t="s">
        <v>108</v>
      </c>
      <c r="CM5" s="10" t="s">
        <v>109</v>
      </c>
      <c r="CN5" s="10" t="s">
        <v>110</v>
      </c>
      <c r="CO5" s="10" t="s">
        <v>111</v>
      </c>
      <c r="CP5" s="10" t="s">
        <v>112</v>
      </c>
      <c r="CQ5" s="10">
        <v>45777</v>
      </c>
      <c r="CR5" s="10" t="s">
        <v>113</v>
      </c>
      <c r="CS5" s="10" t="s">
        <v>114</v>
      </c>
      <c r="CT5" s="10" t="s">
        <v>115</v>
      </c>
      <c r="CU5" s="10" t="s">
        <v>116</v>
      </c>
      <c r="CV5" s="10" t="s">
        <v>117</v>
      </c>
      <c r="CW5" s="10" t="s">
        <v>118</v>
      </c>
      <c r="CX5" s="10" t="s">
        <v>119</v>
      </c>
      <c r="CY5" s="10" t="s">
        <v>120</v>
      </c>
      <c r="CZ5" s="10" t="s">
        <v>121</v>
      </c>
      <c r="DA5" s="10" t="s">
        <v>122</v>
      </c>
      <c r="DB5" s="10" t="s">
        <v>123</v>
      </c>
      <c r="DC5" s="10" t="s">
        <v>124</v>
      </c>
      <c r="DD5" s="10" t="s">
        <v>125</v>
      </c>
      <c r="DE5" s="10" t="s">
        <v>126</v>
      </c>
      <c r="DF5" s="10" t="s">
        <v>127</v>
      </c>
      <c r="DG5" s="10" t="s">
        <v>128</v>
      </c>
      <c r="DH5" s="10" t="s">
        <v>129</v>
      </c>
      <c r="DI5" s="10" t="s">
        <v>130</v>
      </c>
      <c r="DJ5" s="10">
        <v>45807</v>
      </c>
      <c r="DK5" s="10" t="s">
        <v>131</v>
      </c>
      <c r="DL5" s="10" t="s">
        <v>132</v>
      </c>
      <c r="DM5" s="10" t="s">
        <v>133</v>
      </c>
      <c r="DN5" s="10" t="s">
        <v>134</v>
      </c>
      <c r="DO5" s="10" t="s">
        <v>135</v>
      </c>
      <c r="DP5" s="10" t="s">
        <v>136</v>
      </c>
      <c r="DQ5" s="10" t="s">
        <v>137</v>
      </c>
      <c r="DR5" s="10" t="s">
        <v>138</v>
      </c>
      <c r="DS5" s="10" t="s">
        <v>139</v>
      </c>
      <c r="DT5" s="10" t="s">
        <v>140</v>
      </c>
      <c r="DU5" s="10" t="s">
        <v>141</v>
      </c>
      <c r="DV5" s="10" t="s">
        <v>142</v>
      </c>
      <c r="DW5" s="10" t="s">
        <v>143</v>
      </c>
      <c r="DX5" s="10" t="s">
        <v>144</v>
      </c>
      <c r="DY5" s="10" t="s">
        <v>145</v>
      </c>
      <c r="DZ5" s="10" t="s">
        <v>146</v>
      </c>
      <c r="EA5" s="10" t="s">
        <v>147</v>
      </c>
      <c r="EB5" s="10" t="s">
        <v>148</v>
      </c>
      <c r="EC5" s="10" t="s">
        <v>149</v>
      </c>
      <c r="ED5" s="10" t="s">
        <v>150</v>
      </c>
      <c r="EE5" s="10">
        <v>45838</v>
      </c>
      <c r="EF5" s="10" t="s">
        <v>151</v>
      </c>
    </row>
    <row r="6" spans="1:136" x14ac:dyDescent="0.3">
      <c r="A6" s="11"/>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row>
    <row r="7" spans="1:136" x14ac:dyDescent="0.3">
      <c r="A7" s="1" t="s">
        <v>26</v>
      </c>
      <c r="B7" s="13">
        <v>1117700.574004238</v>
      </c>
      <c r="C7" s="13">
        <v>1107091.1920370876</v>
      </c>
      <c r="D7" s="13">
        <v>1030421.352775687</v>
      </c>
      <c r="E7" s="13">
        <v>971289.18417911697</v>
      </c>
      <c r="F7" s="13">
        <v>903200.33859131637</v>
      </c>
      <c r="G7" s="13">
        <v>926822.13936169585</v>
      </c>
      <c r="H7" s="13">
        <v>984774.87543887529</v>
      </c>
      <c r="I7" s="13">
        <v>1011280.6981889916</v>
      </c>
      <c r="J7" s="13">
        <v>1081890.5925885981</v>
      </c>
      <c r="K7" s="13">
        <v>1063474.8085381764</v>
      </c>
      <c r="L7" s="13">
        <v>1074201.546171786</v>
      </c>
      <c r="M7" s="13">
        <v>1083956.528276528</v>
      </c>
      <c r="N7" s="13">
        <v>1139532.029056791</v>
      </c>
      <c r="O7" s="13">
        <v>1075221.6492187458</v>
      </c>
      <c r="P7" s="13">
        <v>1071589.274160696</v>
      </c>
      <c r="Q7" s="13">
        <v>1065208.0232674181</v>
      </c>
      <c r="R7" s="13">
        <v>1070807.5105145513</v>
      </c>
      <c r="S7" s="13">
        <v>1069802.0436846071</v>
      </c>
      <c r="T7" s="13">
        <v>1068633.0249996525</v>
      </c>
      <c r="U7" s="13">
        <v>1070615.9036591216</v>
      </c>
      <c r="V7" s="13">
        <v>1066471.6431449126</v>
      </c>
      <c r="W7" s="13">
        <v>1067538.0143717986</v>
      </c>
      <c r="X7" s="13">
        <v>1070800.9059067173</v>
      </c>
      <c r="Y7" s="13">
        <v>1059260.5699460784</v>
      </c>
      <c r="Z7" s="13">
        <v>1032096.6861367982</v>
      </c>
      <c r="AA7" s="13">
        <v>1030353.0494264232</v>
      </c>
      <c r="AB7" s="13">
        <v>1029725.2377030974</v>
      </c>
      <c r="AC7" s="13">
        <v>1031618.259677281</v>
      </c>
      <c r="AD7" s="13">
        <v>1026361.5854273866</v>
      </c>
      <c r="AE7" s="13">
        <v>1012673.687691248</v>
      </c>
      <c r="AF7" s="13">
        <v>1015284.012544092</v>
      </c>
      <c r="AG7" s="13">
        <v>1013520.2271043448</v>
      </c>
      <c r="AH7" s="13">
        <v>1002678.3086716735</v>
      </c>
      <c r="AI7" s="13">
        <v>1008334.7661672876</v>
      </c>
      <c r="AJ7" s="13">
        <v>1008854.0493906902</v>
      </c>
      <c r="AK7" s="13">
        <v>1030949.7806170967</v>
      </c>
      <c r="AL7" s="13">
        <v>1032757.912501425</v>
      </c>
      <c r="AM7" s="13">
        <v>1028079.2500539343</v>
      </c>
      <c r="AN7" s="13">
        <v>1035440.4419206465</v>
      </c>
      <c r="AO7" s="13">
        <v>1044491.1513781439</v>
      </c>
      <c r="AP7" s="13">
        <v>1055248.7584258004</v>
      </c>
      <c r="AQ7" s="13">
        <v>1047909.7364307392</v>
      </c>
      <c r="AR7" s="13">
        <v>1043546.8312335956</v>
      </c>
      <c r="AS7" s="13">
        <v>1005841.1497386224</v>
      </c>
      <c r="AT7" s="13">
        <v>1001734.3802471372</v>
      </c>
      <c r="AU7" s="13">
        <v>993510.73288683046</v>
      </c>
      <c r="AV7" s="13">
        <v>990847.37230787519</v>
      </c>
      <c r="AW7" s="13">
        <v>989553.98391602165</v>
      </c>
      <c r="AX7" s="13">
        <v>989635.53028159717</v>
      </c>
      <c r="AY7" s="13">
        <v>993043.59418526711</v>
      </c>
      <c r="AZ7" s="13">
        <v>998881.0881668342</v>
      </c>
      <c r="BA7" s="13">
        <v>1013641.9026126892</v>
      </c>
      <c r="BB7" s="13">
        <v>997527.68442316237</v>
      </c>
      <c r="BC7" s="13">
        <v>996678.77766952978</v>
      </c>
      <c r="BD7" s="13">
        <v>1003407.4661952133</v>
      </c>
      <c r="BE7" s="13">
        <v>1003868.4266385166</v>
      </c>
      <c r="BF7" s="13">
        <v>1002738.5238755705</v>
      </c>
      <c r="BG7" s="13">
        <v>998706.52510122559</v>
      </c>
      <c r="BH7" s="13">
        <v>1009545.5122882071</v>
      </c>
      <c r="BI7" s="13">
        <v>1157211.0902793144</v>
      </c>
      <c r="BJ7" s="13">
        <v>1150609.7447306253</v>
      </c>
      <c r="BK7" s="13">
        <v>1167217.827076535</v>
      </c>
      <c r="BL7" s="13">
        <v>1155943.7141229343</v>
      </c>
      <c r="BM7" s="13">
        <v>1156583.9438451645</v>
      </c>
      <c r="BN7" s="13">
        <v>1174129.359422917</v>
      </c>
      <c r="BO7" s="13">
        <v>1180675.0573606666</v>
      </c>
      <c r="BP7" s="13">
        <v>1178386.541608783</v>
      </c>
      <c r="BQ7" s="13">
        <v>1174753.8907619896</v>
      </c>
      <c r="BR7" s="13">
        <v>1176134.0961377195</v>
      </c>
      <c r="BS7" s="13">
        <v>1161461.5164522491</v>
      </c>
      <c r="BT7" s="13">
        <v>1172068.4856486695</v>
      </c>
      <c r="BU7" s="13">
        <v>1191872.3603310254</v>
      </c>
      <c r="BV7" s="13">
        <v>1218293.8949449542</v>
      </c>
      <c r="BW7" s="13">
        <v>1174373.7350975655</v>
      </c>
      <c r="BX7" s="13">
        <v>1175868.4815569858</v>
      </c>
      <c r="BY7" s="13">
        <v>1183869.25595544</v>
      </c>
      <c r="BZ7" s="13">
        <v>1182346.977572677</v>
      </c>
      <c r="CA7" s="13">
        <v>1178609.7273261587</v>
      </c>
      <c r="CB7" s="13">
        <v>1182451.7876878921</v>
      </c>
      <c r="CC7" s="13">
        <v>1188224.1343584014</v>
      </c>
      <c r="CD7" s="13">
        <v>1179668.1686135333</v>
      </c>
      <c r="CE7" s="13">
        <v>1180015.8029607318</v>
      </c>
      <c r="CF7" s="13">
        <v>1183344.0523928548</v>
      </c>
      <c r="CG7" s="13">
        <v>1175304.3487446581</v>
      </c>
      <c r="CH7" s="13">
        <v>1172872.220778994</v>
      </c>
      <c r="CI7" s="13">
        <v>1195005.8318726816</v>
      </c>
      <c r="CJ7" s="13">
        <v>1202431.5165033229</v>
      </c>
      <c r="CK7" s="13">
        <v>1201833.9147726367</v>
      </c>
      <c r="CL7" s="13">
        <v>1188212.5194166426</v>
      </c>
      <c r="CM7" s="13">
        <v>1193919.7179126467</v>
      </c>
      <c r="CN7" s="13">
        <v>1196467.7005317637</v>
      </c>
      <c r="CO7" s="13">
        <v>1189779.7648828086</v>
      </c>
      <c r="CP7" s="13">
        <v>1201593.7298031275</v>
      </c>
      <c r="CQ7" s="13">
        <v>1206822.8384949537</v>
      </c>
      <c r="CR7" s="13">
        <v>1188785.9806174708</v>
      </c>
      <c r="CS7" s="13">
        <v>1185514.1444608334</v>
      </c>
      <c r="CT7" s="13">
        <v>1179150.4340486242</v>
      </c>
      <c r="CU7" s="13">
        <v>1182679.6772477257</v>
      </c>
      <c r="CV7" s="13">
        <v>1181405.9710398947</v>
      </c>
      <c r="CW7" s="13">
        <v>1112444.3271712465</v>
      </c>
      <c r="CX7" s="13">
        <v>1148642.8659322173</v>
      </c>
      <c r="CY7" s="13">
        <v>1118643.405612655</v>
      </c>
      <c r="CZ7" s="13">
        <v>1098809.0153361249</v>
      </c>
      <c r="DA7" s="13">
        <v>1121231.4559983567</v>
      </c>
      <c r="DB7" s="13">
        <v>1122159.4619108117</v>
      </c>
      <c r="DC7" s="13">
        <v>1129551.8262859057</v>
      </c>
      <c r="DD7" s="13">
        <v>1130868.8435633441</v>
      </c>
      <c r="DE7" s="13">
        <v>1123874.0594795733</v>
      </c>
      <c r="DF7" s="13">
        <v>1155536.1544853901</v>
      </c>
      <c r="DG7" s="13">
        <v>1164118.4998009983</v>
      </c>
      <c r="DH7" s="13">
        <v>1151777.0696644888</v>
      </c>
      <c r="DI7" s="13">
        <v>1155460.1821732239</v>
      </c>
      <c r="DJ7" s="13">
        <v>1184959.1927869585</v>
      </c>
      <c r="DK7" s="13">
        <v>1158999.6483208851</v>
      </c>
      <c r="DL7" s="13">
        <v>1162950.9813838068</v>
      </c>
      <c r="DM7" s="13">
        <v>1175178.4441129311</v>
      </c>
      <c r="DN7" s="13">
        <v>1182539.3693992051</v>
      </c>
      <c r="DO7" s="13">
        <v>1176667.3140442136</v>
      </c>
      <c r="DP7" s="13">
        <v>1185846.4704813177</v>
      </c>
      <c r="DQ7" s="13">
        <v>1194087.5199558483</v>
      </c>
      <c r="DR7" s="13">
        <v>1222686.4014816985</v>
      </c>
      <c r="DS7" s="13">
        <v>1226636.5483117637</v>
      </c>
      <c r="DT7" s="13">
        <v>1220454.1540282764</v>
      </c>
      <c r="DU7" s="13">
        <v>1226801.626505268</v>
      </c>
      <c r="DV7" s="13">
        <v>1228262.0413852972</v>
      </c>
      <c r="DW7" s="13">
        <v>1231943.9229887754</v>
      </c>
      <c r="DX7" s="13">
        <v>1236372.3386312395</v>
      </c>
      <c r="DY7" s="13">
        <v>1242382.9443028891</v>
      </c>
      <c r="DZ7" s="13">
        <v>1249987.8746691509</v>
      </c>
      <c r="EA7" s="13">
        <v>1247724.8288834016</v>
      </c>
      <c r="EB7" s="13">
        <v>1255610.8968878032</v>
      </c>
      <c r="EC7" s="13">
        <v>1257164.5597576213</v>
      </c>
      <c r="ED7" s="13">
        <v>1267749.1696271603</v>
      </c>
      <c r="EE7" s="13">
        <v>1242440.7116399347</v>
      </c>
      <c r="EF7" s="13">
        <v>1216511.717988739</v>
      </c>
    </row>
    <row r="8" spans="1:136" x14ac:dyDescent="0.3">
      <c r="A8" s="2" t="s">
        <v>19</v>
      </c>
      <c r="B8" s="13">
        <v>727922.80212156218</v>
      </c>
      <c r="C8" s="13">
        <v>572855.07030861243</v>
      </c>
      <c r="D8" s="13">
        <v>619369.26833431295</v>
      </c>
      <c r="E8" s="13">
        <v>765844.46968078311</v>
      </c>
      <c r="F8" s="13">
        <v>783150.99942438339</v>
      </c>
      <c r="G8" s="13">
        <v>714077.28659980441</v>
      </c>
      <c r="H8" s="13">
        <v>862170.15462282463</v>
      </c>
      <c r="I8" s="13">
        <v>680659.94810610858</v>
      </c>
      <c r="J8" s="13">
        <v>702667.46593270195</v>
      </c>
      <c r="K8" s="13">
        <v>850392.75384562346</v>
      </c>
      <c r="L8" s="13">
        <v>672190.46697181347</v>
      </c>
      <c r="M8" s="13">
        <v>593956.89760667202</v>
      </c>
      <c r="N8" s="13">
        <v>960372.56423230912</v>
      </c>
      <c r="O8" s="13">
        <v>580190.57741075405</v>
      </c>
      <c r="P8" s="13">
        <v>560939.12911590398</v>
      </c>
      <c r="Q8" s="13">
        <v>544699.86902448186</v>
      </c>
      <c r="R8" s="13">
        <v>538341.85542174848</v>
      </c>
      <c r="S8" s="13">
        <v>533212.73932999279</v>
      </c>
      <c r="T8" s="13">
        <v>509520.78429394751</v>
      </c>
      <c r="U8" s="13">
        <v>491785.31613237853</v>
      </c>
      <c r="V8" s="13">
        <v>767017.80688058771</v>
      </c>
      <c r="W8" s="13">
        <v>753095.6374039012</v>
      </c>
      <c r="X8" s="13">
        <v>704890.54320648266</v>
      </c>
      <c r="Y8" s="13">
        <v>655273.20695552137</v>
      </c>
      <c r="Z8" s="13">
        <v>645023.00646300172</v>
      </c>
      <c r="AA8" s="13">
        <v>728948.26715607662</v>
      </c>
      <c r="AB8" s="13">
        <v>721861.7947898024</v>
      </c>
      <c r="AC8" s="13">
        <v>737407.33781921898</v>
      </c>
      <c r="AD8" s="13">
        <v>734815.05864211323</v>
      </c>
      <c r="AE8" s="13">
        <v>715334.24330385192</v>
      </c>
      <c r="AF8" s="13">
        <v>712854.53350800811</v>
      </c>
      <c r="AG8" s="13">
        <v>712165.59325345524</v>
      </c>
      <c r="AH8" s="13">
        <v>761766.32433732646</v>
      </c>
      <c r="AI8" s="13">
        <v>754474.28042461223</v>
      </c>
      <c r="AJ8" s="13">
        <v>760369.01321870973</v>
      </c>
      <c r="AK8" s="13">
        <v>749339.53250970342</v>
      </c>
      <c r="AL8" s="13">
        <v>759008.84884377499</v>
      </c>
      <c r="AM8" s="13">
        <v>755214.61249436578</v>
      </c>
      <c r="AN8" s="13">
        <v>727168.63653615373</v>
      </c>
      <c r="AO8" s="13">
        <v>741625.50244545599</v>
      </c>
      <c r="AP8" s="13">
        <v>751016.61052999971</v>
      </c>
      <c r="AQ8" s="13">
        <v>756777.14395006059</v>
      </c>
      <c r="AR8" s="13">
        <v>764023.44775720418</v>
      </c>
      <c r="AS8" s="13">
        <v>779391.73407917749</v>
      </c>
      <c r="AT8" s="13">
        <v>755917.09873416286</v>
      </c>
      <c r="AU8" s="13">
        <v>735829.44154456968</v>
      </c>
      <c r="AV8" s="13">
        <v>795433.30572142452</v>
      </c>
      <c r="AW8" s="13">
        <v>792394.53025837848</v>
      </c>
      <c r="AX8" s="13">
        <v>792300.65632600279</v>
      </c>
      <c r="AY8" s="13">
        <v>754684.07788843312</v>
      </c>
      <c r="AZ8" s="13">
        <v>753855.63227116584</v>
      </c>
      <c r="BA8" s="13">
        <v>756555.95345281088</v>
      </c>
      <c r="BB8" s="13">
        <v>807914.72334403754</v>
      </c>
      <c r="BC8" s="13">
        <v>808431.61582677055</v>
      </c>
      <c r="BD8" s="13">
        <v>825367.40958938689</v>
      </c>
      <c r="BE8" s="13">
        <v>837807.76045778347</v>
      </c>
      <c r="BF8" s="13">
        <v>851907.88167832943</v>
      </c>
      <c r="BG8" s="13">
        <v>855372.99365317449</v>
      </c>
      <c r="BH8" s="13">
        <v>859008.59353719314</v>
      </c>
      <c r="BI8" s="13">
        <v>636433.53164138598</v>
      </c>
      <c r="BJ8" s="13">
        <v>630135.37217887468</v>
      </c>
      <c r="BK8" s="13">
        <v>626781.31614306499</v>
      </c>
      <c r="BL8" s="13">
        <v>603359.44424806605</v>
      </c>
      <c r="BM8" s="13">
        <v>641885.2453037356</v>
      </c>
      <c r="BN8" s="13">
        <v>690575.09408728266</v>
      </c>
      <c r="BO8" s="13">
        <v>651313.08593333326</v>
      </c>
      <c r="BP8" s="13">
        <v>646722.86955221696</v>
      </c>
      <c r="BQ8" s="13">
        <v>643477.64506731043</v>
      </c>
      <c r="BR8" s="13">
        <v>643768.67797538033</v>
      </c>
      <c r="BS8" s="13">
        <v>783419.16251135105</v>
      </c>
      <c r="BT8" s="13">
        <v>780671.3329537306</v>
      </c>
      <c r="BU8" s="13">
        <v>782941.19477607426</v>
      </c>
      <c r="BV8" s="13">
        <v>801739.89694844582</v>
      </c>
      <c r="BW8" s="13">
        <v>846725.68577223434</v>
      </c>
      <c r="BX8" s="13">
        <v>583464.36700301431</v>
      </c>
      <c r="BY8" s="13">
        <v>577293.5694710603</v>
      </c>
      <c r="BZ8" s="13">
        <v>594967.1998749231</v>
      </c>
      <c r="CA8" s="13">
        <v>595943.48553434131</v>
      </c>
      <c r="CB8" s="13">
        <v>611667.78087370819</v>
      </c>
      <c r="CC8" s="13">
        <v>565313.9267795987</v>
      </c>
      <c r="CD8" s="13">
        <v>553966.93156866659</v>
      </c>
      <c r="CE8" s="13">
        <v>541552.86362146796</v>
      </c>
      <c r="CF8" s="13">
        <v>561704.64496694528</v>
      </c>
      <c r="CG8" s="13">
        <v>575264.46880464209</v>
      </c>
      <c r="CH8" s="13">
        <v>813333.21212290577</v>
      </c>
      <c r="CI8" s="13">
        <v>788728.94810061855</v>
      </c>
      <c r="CJ8" s="13">
        <v>719412.44904847699</v>
      </c>
      <c r="CK8" s="13">
        <v>601948.64163536299</v>
      </c>
      <c r="CL8" s="13">
        <v>591777.76018825755</v>
      </c>
      <c r="CM8" s="13">
        <v>675271.85295915348</v>
      </c>
      <c r="CN8" s="13">
        <v>688056.39527183631</v>
      </c>
      <c r="CO8" s="13">
        <v>688966.82341639092</v>
      </c>
      <c r="CP8" s="13">
        <v>963495.71875277325</v>
      </c>
      <c r="CQ8" s="13">
        <v>631307.07305684639</v>
      </c>
      <c r="CR8" s="13">
        <v>677276.27843172895</v>
      </c>
      <c r="CS8" s="13">
        <v>682345.48053316632</v>
      </c>
      <c r="CT8" s="13">
        <v>685758.81110057561</v>
      </c>
      <c r="CU8" s="13">
        <v>543786.66191897425</v>
      </c>
      <c r="CV8" s="13">
        <v>530470.91028100555</v>
      </c>
      <c r="CW8" s="13">
        <v>597551.98227445339</v>
      </c>
      <c r="CX8" s="13">
        <v>593096.24717078311</v>
      </c>
      <c r="CY8" s="13">
        <v>871297.61531724501</v>
      </c>
      <c r="CZ8" s="13">
        <v>884588.42378017539</v>
      </c>
      <c r="DA8" s="13">
        <v>883421.81348754326</v>
      </c>
      <c r="DB8" s="13">
        <v>859613.71228818852</v>
      </c>
      <c r="DC8" s="13">
        <v>830988.88050739444</v>
      </c>
      <c r="DD8" s="13">
        <v>662927.34153415565</v>
      </c>
      <c r="DE8" s="13">
        <v>662624.25848842692</v>
      </c>
      <c r="DF8" s="13">
        <v>665992.23463461013</v>
      </c>
      <c r="DG8" s="13">
        <v>662489.69590540184</v>
      </c>
      <c r="DH8" s="13">
        <v>679603.76058201119</v>
      </c>
      <c r="DI8" s="13">
        <v>752562.04077277589</v>
      </c>
      <c r="DJ8" s="13">
        <v>752133.52311334177</v>
      </c>
      <c r="DK8" s="13">
        <v>808690.59290491487</v>
      </c>
      <c r="DL8" s="13">
        <v>814614.94922609325</v>
      </c>
      <c r="DM8" s="13">
        <v>696804.32062376919</v>
      </c>
      <c r="DN8" s="13">
        <v>706613.397995495</v>
      </c>
      <c r="DO8" s="13">
        <v>705871.75297298678</v>
      </c>
      <c r="DP8" s="13">
        <v>657479.969199382</v>
      </c>
      <c r="DQ8" s="13">
        <v>651476.05829625158</v>
      </c>
      <c r="DR8" s="13">
        <v>560690.8755089012</v>
      </c>
      <c r="DS8" s="13">
        <v>559098.05558113637</v>
      </c>
      <c r="DT8" s="13">
        <v>556387.65462462348</v>
      </c>
      <c r="DU8" s="13">
        <v>533751.94067383208</v>
      </c>
      <c r="DV8" s="13">
        <v>464238.36104210233</v>
      </c>
      <c r="DW8" s="13">
        <v>670881.20164532447</v>
      </c>
      <c r="DX8" s="13">
        <v>635286.5293037605</v>
      </c>
      <c r="DY8" s="13">
        <v>575312.815932411</v>
      </c>
      <c r="DZ8" s="13">
        <v>568719.10557824885</v>
      </c>
      <c r="EA8" s="13">
        <v>562991.64816239849</v>
      </c>
      <c r="EB8" s="13">
        <v>904900.77197989705</v>
      </c>
      <c r="EC8" s="13">
        <v>895771.13835287862</v>
      </c>
      <c r="ED8" s="13">
        <v>909334.89838664001</v>
      </c>
      <c r="EE8" s="13">
        <v>941204.46363046532</v>
      </c>
      <c r="EF8" s="13">
        <v>979095.65306416084</v>
      </c>
    </row>
    <row r="9" spans="1:136" x14ac:dyDescent="0.3">
      <c r="A9" s="1" t="s">
        <v>2</v>
      </c>
      <c r="B9" s="13">
        <v>-382782.68223100004</v>
      </c>
      <c r="C9" s="13">
        <v>-489893.76138969994</v>
      </c>
      <c r="D9" s="13">
        <v>-450036.3351862001</v>
      </c>
      <c r="E9" s="13">
        <v>-488995.21645380004</v>
      </c>
      <c r="F9" s="13">
        <v>-468210.90926629998</v>
      </c>
      <c r="G9" s="13">
        <v>-437181.55686550005</v>
      </c>
      <c r="H9" s="13">
        <v>-486536.34381640004</v>
      </c>
      <c r="I9" s="13">
        <v>-489204.6266134</v>
      </c>
      <c r="J9" s="13">
        <v>-486586.92172869999</v>
      </c>
      <c r="K9" s="13">
        <v>-502688.64815000008</v>
      </c>
      <c r="L9" s="13">
        <v>-439828.62110599998</v>
      </c>
      <c r="M9" s="13">
        <v>-467697.09767589998</v>
      </c>
      <c r="N9" s="13">
        <v>-419370.82706649997</v>
      </c>
      <c r="O9" s="13">
        <v>-389987.35076720006</v>
      </c>
      <c r="P9" s="13">
        <v>-393472.55686250003</v>
      </c>
      <c r="Q9" s="13">
        <v>-398627.06965350005</v>
      </c>
      <c r="R9" s="13">
        <v>-402863.31777369999</v>
      </c>
      <c r="S9" s="13">
        <v>-409677.5840401001</v>
      </c>
      <c r="T9" s="13">
        <v>-400201.0992597001</v>
      </c>
      <c r="U9" s="13">
        <v>-409021.29434249998</v>
      </c>
      <c r="V9" s="13">
        <v>-444236.30047330004</v>
      </c>
      <c r="W9" s="13">
        <v>-458331.57157200004</v>
      </c>
      <c r="X9" s="13">
        <v>-504929.12209439994</v>
      </c>
      <c r="Y9" s="13">
        <v>-554392.89566660009</v>
      </c>
      <c r="Z9" s="13">
        <v>-564309.28009890008</v>
      </c>
      <c r="AA9" s="13">
        <v>-565161.67480340006</v>
      </c>
      <c r="AB9" s="13">
        <v>-565757.39304030023</v>
      </c>
      <c r="AC9" s="13">
        <v>-566613.47141340002</v>
      </c>
      <c r="AD9" s="13">
        <v>-568757.55106919981</v>
      </c>
      <c r="AE9" s="13">
        <v>-554939.74585349986</v>
      </c>
      <c r="AF9" s="13">
        <v>-557890.60368079995</v>
      </c>
      <c r="AG9" s="13">
        <v>-559878.05069180008</v>
      </c>
      <c r="AH9" s="13">
        <v>-505981.79844550003</v>
      </c>
      <c r="AI9" s="13">
        <v>-512103.40591470001</v>
      </c>
      <c r="AJ9" s="13">
        <v>-508347.56233460008</v>
      </c>
      <c r="AK9" s="13">
        <v>-521121.40000169992</v>
      </c>
      <c r="AL9" s="13">
        <v>-510667.29164730001</v>
      </c>
      <c r="AM9" s="13">
        <v>-510423.01821410004</v>
      </c>
      <c r="AN9" s="13">
        <v>-509578.36385540001</v>
      </c>
      <c r="AO9" s="13">
        <v>-547625.21648910001</v>
      </c>
      <c r="AP9" s="13">
        <v>-538825.83877859986</v>
      </c>
      <c r="AQ9" s="13">
        <v>-534200.94945959991</v>
      </c>
      <c r="AR9" s="13">
        <v>-527196.57984949986</v>
      </c>
      <c r="AS9" s="13">
        <v>-512049.90239390009</v>
      </c>
      <c r="AT9" s="13">
        <v>-538788.01509760006</v>
      </c>
      <c r="AU9" s="13">
        <v>-555552.39720719995</v>
      </c>
      <c r="AV9" s="13">
        <v>-556515.37085099996</v>
      </c>
      <c r="AW9" s="13">
        <v>-560188.35531360016</v>
      </c>
      <c r="AX9" s="13">
        <v>-557527.77120480011</v>
      </c>
      <c r="AY9" s="13">
        <v>-557267.05107180006</v>
      </c>
      <c r="AZ9" s="13">
        <v>-557439.41704109998</v>
      </c>
      <c r="BA9" s="13">
        <v>-557883.08792220009</v>
      </c>
      <c r="BB9" s="13">
        <v>-503921.98317039997</v>
      </c>
      <c r="BC9" s="13">
        <v>-503234.5701065</v>
      </c>
      <c r="BD9" s="13">
        <v>-499438.89957070001</v>
      </c>
      <c r="BE9" s="13">
        <v>-486118.62562240002</v>
      </c>
      <c r="BF9" s="13">
        <v>-474135.47016649996</v>
      </c>
      <c r="BG9" s="13">
        <v>-472414.40471310006</v>
      </c>
      <c r="BH9" s="13">
        <v>-468949.340631</v>
      </c>
      <c r="BI9" s="13">
        <v>-661393.87576810003</v>
      </c>
      <c r="BJ9" s="13">
        <v>-664366.80064479995</v>
      </c>
      <c r="BK9" s="13">
        <v>-667197.37876180012</v>
      </c>
      <c r="BL9" s="13">
        <v>-666162.3051309</v>
      </c>
      <c r="BM9" s="13">
        <v>-684441.81398810016</v>
      </c>
      <c r="BN9" s="13">
        <v>-694436.34216120013</v>
      </c>
      <c r="BO9" s="13">
        <v>-732659.45073830022</v>
      </c>
      <c r="BP9" s="13">
        <v>-737944.18696199998</v>
      </c>
      <c r="BQ9" s="13">
        <v>-742436.54549609998</v>
      </c>
      <c r="BR9" s="13">
        <v>-742822.93862719997</v>
      </c>
      <c r="BS9" s="13">
        <v>-730781.07023680012</v>
      </c>
      <c r="BT9" s="13">
        <v>-729642.28255060001</v>
      </c>
      <c r="BU9" s="13">
        <v>-729421.55523189995</v>
      </c>
      <c r="BV9" s="13">
        <v>-712642.1088245</v>
      </c>
      <c r="BW9" s="13">
        <v>-669083.98688880005</v>
      </c>
      <c r="BX9" s="13">
        <v>-663367.18253109988</v>
      </c>
      <c r="BY9" s="13">
        <v>-666014.98434990004</v>
      </c>
      <c r="BZ9" s="13">
        <v>-649866.90651939984</v>
      </c>
      <c r="CA9" s="13">
        <v>-646844.98310679989</v>
      </c>
      <c r="CB9" s="13">
        <v>-632799.6098771001</v>
      </c>
      <c r="CC9" s="13">
        <v>-635051.29700550006</v>
      </c>
      <c r="CD9" s="13">
        <v>-640276.84267440008</v>
      </c>
      <c r="CE9" s="13">
        <v>-638391.1956656999</v>
      </c>
      <c r="CF9" s="13">
        <v>-637524.23798889993</v>
      </c>
      <c r="CG9" s="13">
        <v>-633613.56058010005</v>
      </c>
      <c r="CH9" s="13">
        <v>-646856.35653370002</v>
      </c>
      <c r="CI9" s="13">
        <v>-672905.9032796002</v>
      </c>
      <c r="CJ9" s="13">
        <v>-742098.97863769985</v>
      </c>
      <c r="CK9" s="13">
        <v>-846199.06432579982</v>
      </c>
      <c r="CL9" s="13">
        <v>-857953.95215339994</v>
      </c>
      <c r="CM9" s="13">
        <v>-857740.91535039991</v>
      </c>
      <c r="CN9" s="13">
        <v>-845023.22953020001</v>
      </c>
      <c r="CO9" s="13">
        <v>-845204.90605829994</v>
      </c>
      <c r="CP9" s="13">
        <v>-551640.88606519997</v>
      </c>
      <c r="CQ9" s="13">
        <v>-661086.09275509999</v>
      </c>
      <c r="CR9" s="13">
        <v>-621321.53453279985</v>
      </c>
      <c r="CS9" s="13">
        <v>-613632.94906460005</v>
      </c>
      <c r="CT9" s="13">
        <v>-613248.31729410007</v>
      </c>
      <c r="CU9" s="13">
        <v>-599678.04372820014</v>
      </c>
      <c r="CV9" s="13">
        <v>-599086.15368170012</v>
      </c>
      <c r="CW9" s="13">
        <v>-529643.7389615</v>
      </c>
      <c r="CX9" s="13">
        <v>-528121.43261819996</v>
      </c>
      <c r="CY9" s="13">
        <v>-563029.37624969985</v>
      </c>
      <c r="CZ9" s="13">
        <v>-552537.98281209986</v>
      </c>
      <c r="DA9" s="13">
        <v>-554333.2649345001</v>
      </c>
      <c r="DB9" s="13">
        <v>-577660.12378350005</v>
      </c>
      <c r="DC9" s="13">
        <v>-611233.49820139993</v>
      </c>
      <c r="DD9" s="13">
        <v>-616281.45439350011</v>
      </c>
      <c r="DE9" s="13">
        <v>-618735.29925609997</v>
      </c>
      <c r="DF9" s="13">
        <v>-617751.47932040028</v>
      </c>
      <c r="DG9" s="13">
        <v>-622512.87040740007</v>
      </c>
      <c r="DH9" s="13">
        <v>-614376.87577070005</v>
      </c>
      <c r="DI9" s="13">
        <v>-611061.0742576</v>
      </c>
      <c r="DJ9" s="13">
        <v>-610678.79357019998</v>
      </c>
      <c r="DK9" s="13">
        <v>-552881.2692506999</v>
      </c>
      <c r="DL9" s="13">
        <v>-549357.1793814</v>
      </c>
      <c r="DM9" s="13">
        <v>-543191.6174625</v>
      </c>
      <c r="DN9" s="13">
        <v>-532987.17123890005</v>
      </c>
      <c r="DO9" s="13">
        <v>-534243.55171570007</v>
      </c>
      <c r="DP9" s="13">
        <v>-523268.12280749989</v>
      </c>
      <c r="DQ9" s="13">
        <v>-526257.25557669986</v>
      </c>
      <c r="DR9" s="13">
        <v>-558128.41304729995</v>
      </c>
      <c r="DS9" s="13">
        <v>-557486.65523909987</v>
      </c>
      <c r="DT9" s="13">
        <v>-553248.63718380011</v>
      </c>
      <c r="DU9" s="13">
        <v>-559732.69011890003</v>
      </c>
      <c r="DV9" s="13">
        <v>-573638.22089960007</v>
      </c>
      <c r="DW9" s="13">
        <v>-589514.56142739998</v>
      </c>
      <c r="DX9" s="13">
        <v>-624178.70693060011</v>
      </c>
      <c r="DY9" s="13">
        <v>-681425.04094339989</v>
      </c>
      <c r="DZ9" s="13">
        <v>-688181.60452799988</v>
      </c>
      <c r="EA9" s="13">
        <v>-692162.09402980015</v>
      </c>
      <c r="EB9" s="13">
        <v>-682495.70686220017</v>
      </c>
      <c r="EC9" s="13">
        <v>-691847.3287697999</v>
      </c>
      <c r="ED9" s="13">
        <v>-679583.87772800017</v>
      </c>
      <c r="EE9" s="13">
        <v>-619808.49105449999</v>
      </c>
      <c r="EF9" s="13">
        <v>-604526.28265789989</v>
      </c>
    </row>
    <row r="10" spans="1:136" x14ac:dyDescent="0.3">
      <c r="A10" s="2" t="s">
        <v>3</v>
      </c>
      <c r="B10" s="13">
        <v>658081.73300439992</v>
      </c>
      <c r="C10" s="13">
        <v>607012.72054499993</v>
      </c>
      <c r="D10" s="13">
        <v>615018.57584749989</v>
      </c>
      <c r="E10" s="13">
        <v>795010.01136959996</v>
      </c>
      <c r="F10" s="13">
        <v>782381.16842299991</v>
      </c>
      <c r="G10" s="13">
        <v>684017.04693659989</v>
      </c>
      <c r="H10" s="13">
        <v>884164.04184159997</v>
      </c>
      <c r="I10" s="13">
        <v>714162.81608050002</v>
      </c>
      <c r="J10" s="13">
        <v>741348.17518090014</v>
      </c>
      <c r="K10" s="13">
        <v>913145.32347970014</v>
      </c>
      <c r="L10" s="13">
        <v>677416.91447760002</v>
      </c>
      <c r="M10" s="13">
        <v>637638.86670239992</v>
      </c>
      <c r="N10" s="13">
        <v>961309.24881999998</v>
      </c>
      <c r="O10" s="13">
        <v>550680.19236340013</v>
      </c>
      <c r="P10" s="13">
        <v>538054.96629680006</v>
      </c>
      <c r="Q10" s="13">
        <v>524205.31902570004</v>
      </c>
      <c r="R10" s="13">
        <v>523298.31137389998</v>
      </c>
      <c r="S10" s="13">
        <v>522663.19135129999</v>
      </c>
      <c r="T10" s="13">
        <v>487938.35249780008</v>
      </c>
      <c r="U10" s="13">
        <v>481680.77888400003</v>
      </c>
      <c r="V10" s="13">
        <v>792081.62574249995</v>
      </c>
      <c r="W10" s="13">
        <v>790861.57750399993</v>
      </c>
      <c r="X10" s="13">
        <v>791103.49423319998</v>
      </c>
      <c r="Y10" s="13">
        <v>791477.87486069999</v>
      </c>
      <c r="Z10" s="13">
        <v>791972.4965580001</v>
      </c>
      <c r="AA10" s="13">
        <v>878951.20187630027</v>
      </c>
      <c r="AB10" s="13">
        <v>872231.82567420008</v>
      </c>
      <c r="AC10" s="13">
        <v>888548.95038190018</v>
      </c>
      <c r="AD10" s="13">
        <v>889038.05105899996</v>
      </c>
      <c r="AE10" s="13">
        <v>855141.10522239993</v>
      </c>
      <c r="AF10" s="13">
        <v>855300.24220669991</v>
      </c>
      <c r="AG10" s="13">
        <v>855459.3883448001</v>
      </c>
      <c r="AH10" s="13">
        <v>855934.50867269991</v>
      </c>
      <c r="AI10" s="13">
        <v>856234.5712472999</v>
      </c>
      <c r="AJ10" s="13">
        <v>855629.5923101001</v>
      </c>
      <c r="AK10" s="13">
        <v>855785.34534660005</v>
      </c>
      <c r="AL10" s="13">
        <v>854600.90225029993</v>
      </c>
      <c r="AM10" s="13">
        <v>848117.98492229998</v>
      </c>
      <c r="AN10" s="13">
        <v>821759.49847410002</v>
      </c>
      <c r="AO10" s="13">
        <v>851885.04499890003</v>
      </c>
      <c r="AP10" s="13">
        <v>852043.7714472001</v>
      </c>
      <c r="AQ10" s="13">
        <v>854526.7015503</v>
      </c>
      <c r="AR10" s="13">
        <v>854997.16260119993</v>
      </c>
      <c r="AS10" s="13">
        <v>855251.53183199989</v>
      </c>
      <c r="AT10" s="13">
        <v>857657.53493970004</v>
      </c>
      <c r="AU10" s="13">
        <v>854715.11392050015</v>
      </c>
      <c r="AV10" s="13">
        <v>909463.27958639991</v>
      </c>
      <c r="AW10" s="13">
        <v>909972.56927619991</v>
      </c>
      <c r="AX10" s="13">
        <v>906784.53777500009</v>
      </c>
      <c r="AY10" s="13">
        <v>871152.06738290004</v>
      </c>
      <c r="AZ10" s="13">
        <v>871314.75060740008</v>
      </c>
      <c r="BA10" s="13">
        <v>873264.18135239999</v>
      </c>
      <c r="BB10" s="13">
        <v>873753.32196860004</v>
      </c>
      <c r="BC10" s="13">
        <v>875026.72962190001</v>
      </c>
      <c r="BD10" s="13">
        <v>890792.71140020003</v>
      </c>
      <c r="BE10" s="13">
        <v>890946.69677109993</v>
      </c>
      <c r="BF10" s="13">
        <v>891113.21123090002</v>
      </c>
      <c r="BG10" s="13">
        <v>891605.75393729995</v>
      </c>
      <c r="BH10" s="13">
        <v>891772.30568310013</v>
      </c>
      <c r="BI10" s="13">
        <v>861127.92341439996</v>
      </c>
      <c r="BJ10" s="13">
        <v>856287.91734799999</v>
      </c>
      <c r="BK10" s="13">
        <v>855061.9706720002</v>
      </c>
      <c r="BL10" s="13">
        <v>837041.5905261999</v>
      </c>
      <c r="BM10" s="13">
        <v>888362.59539530007</v>
      </c>
      <c r="BN10" s="13">
        <v>946569.013576</v>
      </c>
      <c r="BO10" s="13">
        <v>946024.2408138999</v>
      </c>
      <c r="BP10" s="13">
        <v>947417.38375000004</v>
      </c>
      <c r="BQ10" s="13">
        <v>947949.32694910001</v>
      </c>
      <c r="BR10" s="13">
        <v>948126.66057840001</v>
      </c>
      <c r="BS10" s="13">
        <v>1075695.8562757</v>
      </c>
      <c r="BT10" s="13">
        <v>1075899.3625919002</v>
      </c>
      <c r="BU10" s="13">
        <v>1077344.8311328997</v>
      </c>
      <c r="BV10" s="13">
        <v>1077834.2061892999</v>
      </c>
      <c r="BW10" s="13">
        <v>1078037.9388469998</v>
      </c>
      <c r="BX10" s="13">
        <v>808889.16812010005</v>
      </c>
      <c r="BY10" s="13">
        <v>809039.84435929975</v>
      </c>
      <c r="BZ10" s="13">
        <v>809691.81435549993</v>
      </c>
      <c r="CA10" s="13">
        <v>810144.23054509994</v>
      </c>
      <c r="CB10" s="13">
        <v>810295.05532009993</v>
      </c>
      <c r="CC10" s="13">
        <v>769764.90687189996</v>
      </c>
      <c r="CD10" s="13">
        <v>760815.23609929997</v>
      </c>
      <c r="CE10" s="13">
        <v>749337.94734489999</v>
      </c>
      <c r="CF10" s="13">
        <v>768009.08257289999</v>
      </c>
      <c r="CG10" s="13">
        <v>777024.57860240003</v>
      </c>
      <c r="CH10" s="13">
        <v>1030212.1089587001</v>
      </c>
      <c r="CI10" s="13">
        <v>1030405.035484</v>
      </c>
      <c r="CJ10" s="13">
        <v>1031525.0676877002</v>
      </c>
      <c r="CK10" s="13">
        <v>1019460.5552868</v>
      </c>
      <c r="CL10" s="13">
        <v>1020911.9460161</v>
      </c>
      <c r="CM10" s="13">
        <v>1101315.8714782</v>
      </c>
      <c r="CN10" s="13">
        <v>1102108.0506678997</v>
      </c>
      <c r="CO10" s="13">
        <v>1102730.3765986001</v>
      </c>
      <c r="CP10" s="13">
        <v>1102937.8364662</v>
      </c>
      <c r="CQ10" s="13">
        <v>872042.45832680014</v>
      </c>
      <c r="CR10" s="13">
        <v>872368.1101527001</v>
      </c>
      <c r="CS10" s="13">
        <v>869856.22357299994</v>
      </c>
      <c r="CT10" s="13">
        <v>873496.37341080012</v>
      </c>
      <c r="CU10" s="13">
        <v>718869.08415750007</v>
      </c>
      <c r="CV10" s="13">
        <v>701459.78482489975</v>
      </c>
      <c r="CW10" s="13">
        <v>702063.44649669994</v>
      </c>
      <c r="CX10" s="13">
        <v>694239.80126610014</v>
      </c>
      <c r="CY10" s="13">
        <v>1007960.1260807001</v>
      </c>
      <c r="CZ10" s="13">
        <v>1008149.1855022</v>
      </c>
      <c r="DA10" s="13">
        <v>1008528.2407332</v>
      </c>
      <c r="DB10" s="27">
        <v>1009095.6105120999</v>
      </c>
      <c r="DC10" s="27">
        <v>1009284.7514542001</v>
      </c>
      <c r="DD10" s="27">
        <v>848494.88251500006</v>
      </c>
      <c r="DE10" s="27">
        <v>848571.02099340002</v>
      </c>
      <c r="DF10" s="27">
        <v>850970.61132969998</v>
      </c>
      <c r="DG10" s="27">
        <v>857227.59607970016</v>
      </c>
      <c r="DH10" s="27">
        <v>866338.45352380001</v>
      </c>
      <c r="DI10" s="27">
        <v>936745.62396120012</v>
      </c>
      <c r="DJ10" s="27">
        <v>937096.36285000003</v>
      </c>
      <c r="DK10" s="27">
        <v>937447.13917719992</v>
      </c>
      <c r="DL10" s="27">
        <v>937622.54139089992</v>
      </c>
      <c r="DM10" s="27">
        <v>802057.16166750004</v>
      </c>
      <c r="DN10" s="28">
        <v>802206.88843079994</v>
      </c>
      <c r="DO10" s="28">
        <v>802356.62455469999</v>
      </c>
      <c r="DP10" s="28">
        <v>742797.25904219993</v>
      </c>
      <c r="DQ10" s="28">
        <v>742933.79350279993</v>
      </c>
      <c r="DR10" s="28">
        <v>682407.80709729996</v>
      </c>
      <c r="DS10" s="28">
        <v>682534.4645912</v>
      </c>
      <c r="DT10" s="28">
        <v>672659.69310629985</v>
      </c>
      <c r="DU10" s="28">
        <v>657936.62003489991</v>
      </c>
      <c r="DV10" s="28">
        <v>603389.03216459998</v>
      </c>
      <c r="DW10" s="28">
        <v>825504.75922229991</v>
      </c>
      <c r="DX10" s="28">
        <v>825659.03903490002</v>
      </c>
      <c r="DY10" s="28">
        <v>825794.77837860014</v>
      </c>
      <c r="DZ10" s="28">
        <v>826257.69195189991</v>
      </c>
      <c r="EA10" s="28">
        <v>826655.0218779</v>
      </c>
      <c r="EB10" s="28">
        <v>1157444.9547520999</v>
      </c>
      <c r="EC10" s="28">
        <v>1159394.1660373998</v>
      </c>
      <c r="ED10" s="28">
        <v>1160473.463088</v>
      </c>
      <c r="EE10" s="28">
        <v>1163803.3933764999</v>
      </c>
      <c r="EF10" s="28">
        <v>1163945.9931843001</v>
      </c>
    </row>
    <row r="11" spans="1:136" x14ac:dyDescent="0.3">
      <c r="A11" s="2" t="s">
        <v>17</v>
      </c>
      <c r="B11" s="13">
        <v>350370.30072399997</v>
      </c>
      <c r="C11" s="13">
        <v>300000</v>
      </c>
      <c r="D11" s="13">
        <v>305074.71031599998</v>
      </c>
      <c r="E11" s="13">
        <v>480461.60931599996</v>
      </c>
      <c r="F11" s="13">
        <v>482569.20043300005</v>
      </c>
      <c r="G11" s="13">
        <v>385170.51719799999</v>
      </c>
      <c r="H11" s="13">
        <v>581524.16789300006</v>
      </c>
      <c r="I11" s="13">
        <v>410000</v>
      </c>
      <c r="J11" s="13">
        <v>430278.74866699998</v>
      </c>
      <c r="K11" s="13">
        <v>598129.66269200004</v>
      </c>
      <c r="L11" s="13">
        <v>375076.02791599999</v>
      </c>
      <c r="M11" s="13">
        <v>330201.69154000003</v>
      </c>
      <c r="N11" s="13">
        <v>651281.90015499992</v>
      </c>
      <c r="O11" s="13">
        <v>238500</v>
      </c>
      <c r="P11" s="13">
        <v>225671.655925</v>
      </c>
      <c r="Q11" s="13">
        <v>216000</v>
      </c>
      <c r="R11" s="13">
        <v>215042.81686700002</v>
      </c>
      <c r="S11" s="13">
        <v>215085.633738</v>
      </c>
      <c r="T11" s="13">
        <v>215214.08434299999</v>
      </c>
      <c r="U11" s="13">
        <v>215256.90121000001</v>
      </c>
      <c r="V11" s="13">
        <v>480000</v>
      </c>
      <c r="W11" s="13">
        <v>480095.37836699997</v>
      </c>
      <c r="X11" s="13">
        <v>480190.75673400005</v>
      </c>
      <c r="Y11" s="13">
        <v>480476.89183600002</v>
      </c>
      <c r="Z11" s="13">
        <v>480572.27020700002</v>
      </c>
      <c r="AA11" s="13">
        <v>567500</v>
      </c>
      <c r="AB11" s="13">
        <v>560810.44484100002</v>
      </c>
      <c r="AC11" s="13">
        <v>575220.88967900001</v>
      </c>
      <c r="AD11" s="13">
        <v>575564.18077500002</v>
      </c>
      <c r="AE11" s="13">
        <v>545000</v>
      </c>
      <c r="AF11" s="13">
        <v>545108.42057900003</v>
      </c>
      <c r="AG11" s="13">
        <v>545216.84115900006</v>
      </c>
      <c r="AH11" s="13">
        <v>545542.10289800004</v>
      </c>
      <c r="AI11" s="13">
        <v>545650.52347599994</v>
      </c>
      <c r="AJ11" s="13">
        <v>545000</v>
      </c>
      <c r="AK11" s="13">
        <v>545104.94539300003</v>
      </c>
      <c r="AL11" s="13">
        <v>545209.89078400005</v>
      </c>
      <c r="AM11" s="13">
        <v>545524.72696100001</v>
      </c>
      <c r="AN11" s="13">
        <v>545629.67235000001</v>
      </c>
      <c r="AO11" s="13">
        <v>560000</v>
      </c>
      <c r="AP11" s="13">
        <v>560107.60934800003</v>
      </c>
      <c r="AQ11" s="13">
        <v>560215.21870000008</v>
      </c>
      <c r="AR11" s="13">
        <v>560538.04674800008</v>
      </c>
      <c r="AS11" s="13">
        <v>560645.65609900001</v>
      </c>
      <c r="AT11" s="13">
        <v>563000</v>
      </c>
      <c r="AU11" s="13">
        <v>560107.65617099998</v>
      </c>
      <c r="AV11" s="13">
        <v>610215.312347</v>
      </c>
      <c r="AW11" s="13">
        <v>610567.13488999999</v>
      </c>
      <c r="AX11" s="13">
        <v>610684.40907599998</v>
      </c>
      <c r="AY11" s="13">
        <v>575000</v>
      </c>
      <c r="AZ11" s="13">
        <v>575110.73515600001</v>
      </c>
      <c r="BA11" s="13">
        <v>575221.47031400003</v>
      </c>
      <c r="BB11" s="13">
        <v>575553.67577999993</v>
      </c>
      <c r="BC11" s="13">
        <v>575664.41094000009</v>
      </c>
      <c r="BD11" s="13">
        <v>590000</v>
      </c>
      <c r="BE11" s="13">
        <v>590113.61386799999</v>
      </c>
      <c r="BF11" s="13">
        <v>590227.22772899992</v>
      </c>
      <c r="BG11" s="13">
        <v>590568.06932200002</v>
      </c>
      <c r="BH11" s="13">
        <v>590681.68318599998</v>
      </c>
      <c r="BI11" s="13">
        <v>560000</v>
      </c>
      <c r="BJ11" s="13">
        <v>560107.75868499989</v>
      </c>
      <c r="BK11" s="13">
        <v>560215.51737100002</v>
      </c>
      <c r="BL11" s="13">
        <v>560538.79342400003</v>
      </c>
      <c r="BM11" s="13">
        <v>599146.55211099994</v>
      </c>
      <c r="BN11" s="13">
        <v>645000</v>
      </c>
      <c r="BO11" s="13">
        <v>645124.19825000002</v>
      </c>
      <c r="BP11" s="13">
        <v>645248.39650499995</v>
      </c>
      <c r="BQ11" s="13">
        <v>645620.99126100005</v>
      </c>
      <c r="BR11" s="13">
        <v>645745.18951100006</v>
      </c>
      <c r="BS11" s="13">
        <v>773300</v>
      </c>
      <c r="BT11" s="13">
        <v>773450.35900100006</v>
      </c>
      <c r="BU11" s="13">
        <v>773600.71801100008</v>
      </c>
      <c r="BV11" s="13">
        <v>774051.7950269999</v>
      </c>
      <c r="BW11" s="13">
        <v>774202.15403500001</v>
      </c>
      <c r="BX11" s="13">
        <v>505000</v>
      </c>
      <c r="BY11" s="13">
        <v>505097.28327200003</v>
      </c>
      <c r="BZ11" s="13">
        <v>505194.56654999999</v>
      </c>
      <c r="CA11" s="13">
        <v>505486.41636699997</v>
      </c>
      <c r="CB11" s="13">
        <v>505583.69964200002</v>
      </c>
      <c r="CC11" s="13">
        <v>465000</v>
      </c>
      <c r="CD11" s="13">
        <v>465089.42622000002</v>
      </c>
      <c r="CE11" s="13">
        <v>465178.85244199994</v>
      </c>
      <c r="CF11" s="13">
        <v>480447.1311</v>
      </c>
      <c r="CG11" s="13">
        <v>495536.55732399999</v>
      </c>
      <c r="CH11" s="13">
        <v>733800</v>
      </c>
      <c r="CI11" s="13">
        <v>733940.9791900001</v>
      </c>
      <c r="CJ11" s="13">
        <v>734081.95838100009</v>
      </c>
      <c r="CK11" s="13">
        <v>734504.89595200005</v>
      </c>
      <c r="CL11" s="13">
        <v>734645.87514300004</v>
      </c>
      <c r="CM11" s="13">
        <v>815000</v>
      </c>
      <c r="CN11" s="13">
        <v>815315.09913300001</v>
      </c>
      <c r="CO11" s="13">
        <v>815787.74783500005</v>
      </c>
      <c r="CP11" s="13">
        <v>815945.29739900003</v>
      </c>
      <c r="CQ11" s="13">
        <v>585000</v>
      </c>
      <c r="CR11" s="13">
        <v>585225.78645400004</v>
      </c>
      <c r="CS11" s="13">
        <v>585564.46613800002</v>
      </c>
      <c r="CT11" s="13">
        <v>585677.35936300003</v>
      </c>
      <c r="CU11" s="13">
        <v>431000</v>
      </c>
      <c r="CV11" s="13">
        <v>415080.401916</v>
      </c>
      <c r="CW11" s="13">
        <v>421402.00959500001</v>
      </c>
      <c r="CX11" s="13">
        <v>435982.41151399998</v>
      </c>
      <c r="CY11" s="13">
        <v>725000</v>
      </c>
      <c r="CZ11" s="13">
        <v>725139.85981599998</v>
      </c>
      <c r="DA11" s="13">
        <v>725279.71963399998</v>
      </c>
      <c r="DB11" s="27">
        <v>725699.29908099992</v>
      </c>
      <c r="DC11" s="27">
        <v>725839.15889999992</v>
      </c>
      <c r="DD11" s="27">
        <v>565000</v>
      </c>
      <c r="DE11" s="27">
        <v>565109.434778</v>
      </c>
      <c r="DF11" s="27">
        <v>565218.86955200008</v>
      </c>
      <c r="DG11" s="27">
        <v>565547.17388300004</v>
      </c>
      <c r="DH11" s="27">
        <v>569656.60865999991</v>
      </c>
      <c r="DI11" s="27">
        <v>640000</v>
      </c>
      <c r="DJ11" s="27">
        <v>640246.93043499999</v>
      </c>
      <c r="DK11" s="27">
        <v>640493.86086399993</v>
      </c>
      <c r="DL11" s="27">
        <v>640617.32608299993</v>
      </c>
      <c r="DM11" s="27">
        <v>505000</v>
      </c>
      <c r="DN11" s="28">
        <v>505097.77103399998</v>
      </c>
      <c r="DO11" s="28">
        <v>505195.54206199996</v>
      </c>
      <c r="DP11" s="28">
        <v>505488.85515899997</v>
      </c>
      <c r="DQ11" s="28">
        <v>505586.62618999998</v>
      </c>
      <c r="DR11" s="28">
        <v>385000</v>
      </c>
      <c r="DS11" s="28">
        <v>385074.63846499997</v>
      </c>
      <c r="DT11" s="28">
        <v>385149.27692900004</v>
      </c>
      <c r="DU11" s="28">
        <v>385373.192324</v>
      </c>
      <c r="DV11" s="28">
        <v>385447.830785</v>
      </c>
      <c r="DW11" s="28">
        <v>527700</v>
      </c>
      <c r="DX11" s="28">
        <v>527802.190665</v>
      </c>
      <c r="DY11" s="28">
        <v>527904.38133600005</v>
      </c>
      <c r="DZ11" s="28">
        <v>528210.95333099994</v>
      </c>
      <c r="EA11" s="28">
        <v>528313.14399299992</v>
      </c>
      <c r="EB11" s="28">
        <v>862700.90265100007</v>
      </c>
      <c r="EC11" s="28">
        <v>862868.20773800008</v>
      </c>
      <c r="ED11" s="28">
        <v>863035.51282399998</v>
      </c>
      <c r="EE11" s="28">
        <v>863537.42808899994</v>
      </c>
      <c r="EF11" s="28">
        <v>863704.73317599995</v>
      </c>
    </row>
    <row r="12" spans="1:136" x14ac:dyDescent="0.3">
      <c r="A12" s="2" t="s">
        <v>22</v>
      </c>
      <c r="B12" s="13">
        <v>280296.92145199998</v>
      </c>
      <c r="C12" s="13">
        <v>300000</v>
      </c>
      <c r="D12" s="13">
        <v>305074.71031599998</v>
      </c>
      <c r="E12" s="13">
        <v>405390.20678200002</v>
      </c>
      <c r="F12" s="13">
        <v>475569.20043299999</v>
      </c>
      <c r="G12" s="13">
        <v>360164.761734</v>
      </c>
      <c r="H12" s="13">
        <v>445403.87070099998</v>
      </c>
      <c r="I12" s="13">
        <v>410000</v>
      </c>
      <c r="J12" s="13">
        <v>430278.74866699998</v>
      </c>
      <c r="K12" s="13">
        <v>390414.82833500003</v>
      </c>
      <c r="L12" s="13">
        <v>305061.91242200002</v>
      </c>
      <c r="M12" s="13">
        <v>330201.69154000003</v>
      </c>
      <c r="N12" s="13">
        <v>465566.408024</v>
      </c>
      <c r="O12" s="13">
        <v>0</v>
      </c>
      <c r="P12" s="13">
        <v>0</v>
      </c>
      <c r="Q12" s="13">
        <v>215000</v>
      </c>
      <c r="R12" s="13">
        <v>215042.81686699999</v>
      </c>
      <c r="S12" s="13">
        <v>215085.633738</v>
      </c>
      <c r="T12" s="13">
        <v>215214.08434299999</v>
      </c>
      <c r="U12" s="13">
        <v>215256.90121000001</v>
      </c>
      <c r="V12" s="13">
        <v>480000</v>
      </c>
      <c r="W12" s="13">
        <v>480095.37836700003</v>
      </c>
      <c r="X12" s="13">
        <v>480190.756734</v>
      </c>
      <c r="Y12" s="13">
        <v>480476.89183600002</v>
      </c>
      <c r="Z12" s="13">
        <v>480572.27020700002</v>
      </c>
      <c r="AA12" s="13">
        <v>555000</v>
      </c>
      <c r="AB12" s="13">
        <v>555110.44484100002</v>
      </c>
      <c r="AC12" s="13">
        <v>555220.88967900001</v>
      </c>
      <c r="AD12" s="13">
        <v>555552.22419700003</v>
      </c>
      <c r="AE12" s="13">
        <v>545000</v>
      </c>
      <c r="AF12" s="13">
        <v>545108.42057900003</v>
      </c>
      <c r="AG12" s="13">
        <v>545216.84115899995</v>
      </c>
      <c r="AH12" s="13">
        <v>545542.10289800004</v>
      </c>
      <c r="AI12" s="13">
        <v>545650.52347599994</v>
      </c>
      <c r="AJ12" s="13">
        <v>545000</v>
      </c>
      <c r="AK12" s="13">
        <v>545104.94539300003</v>
      </c>
      <c r="AL12" s="13">
        <v>545209.89078400005</v>
      </c>
      <c r="AM12" s="13">
        <v>545524.72696100001</v>
      </c>
      <c r="AN12" s="13">
        <v>545629.67235000001</v>
      </c>
      <c r="AO12" s="13">
        <v>560000</v>
      </c>
      <c r="AP12" s="13">
        <v>560107.60934800003</v>
      </c>
      <c r="AQ12" s="13">
        <v>560215.21869999997</v>
      </c>
      <c r="AR12" s="13">
        <v>560538.04674799996</v>
      </c>
      <c r="AS12" s="13">
        <v>560645.65609900001</v>
      </c>
      <c r="AT12" s="13">
        <v>560000</v>
      </c>
      <c r="AU12" s="13">
        <v>560107.65617099998</v>
      </c>
      <c r="AV12" s="13">
        <v>560215.312347</v>
      </c>
      <c r="AW12" s="13">
        <v>560538.28085700003</v>
      </c>
      <c r="AX12" s="13">
        <v>560645.93703200005</v>
      </c>
      <c r="AY12" s="13">
        <v>575000</v>
      </c>
      <c r="AZ12" s="13">
        <v>575110.73515600001</v>
      </c>
      <c r="BA12" s="13">
        <v>575221.47031400003</v>
      </c>
      <c r="BB12" s="13">
        <v>575553.67578000005</v>
      </c>
      <c r="BC12" s="13">
        <v>575664.41093999997</v>
      </c>
      <c r="BD12" s="13">
        <v>590000</v>
      </c>
      <c r="BE12" s="13">
        <v>590113.61386799999</v>
      </c>
      <c r="BF12" s="13">
        <v>590227.22772900003</v>
      </c>
      <c r="BG12" s="13">
        <v>590568.06932200002</v>
      </c>
      <c r="BH12" s="13">
        <v>590681.68318599998</v>
      </c>
      <c r="BI12" s="13">
        <v>560000</v>
      </c>
      <c r="BJ12" s="13">
        <v>560107.75868500001</v>
      </c>
      <c r="BK12" s="13">
        <v>560215.51737100002</v>
      </c>
      <c r="BL12" s="13">
        <v>560538.79342400003</v>
      </c>
      <c r="BM12" s="13">
        <v>560646.55211100006</v>
      </c>
      <c r="BN12" s="13">
        <v>645000</v>
      </c>
      <c r="BO12" s="13">
        <v>645124.19825000002</v>
      </c>
      <c r="BP12" s="13">
        <v>645248.39650499995</v>
      </c>
      <c r="BQ12" s="13">
        <v>645620.99126100005</v>
      </c>
      <c r="BR12" s="13">
        <v>645745.18951099995</v>
      </c>
      <c r="BS12" s="13">
        <v>600000</v>
      </c>
      <c r="BT12" s="13">
        <v>600117.37237500004</v>
      </c>
      <c r="BU12" s="13">
        <v>600234.74475299998</v>
      </c>
      <c r="BV12" s="13">
        <v>600586.86188700004</v>
      </c>
      <c r="BW12" s="13">
        <v>600704.23426599998</v>
      </c>
      <c r="BX12" s="13">
        <v>505000</v>
      </c>
      <c r="BY12" s="13">
        <v>505097.28327199997</v>
      </c>
      <c r="BZ12" s="13">
        <v>505194.56654999999</v>
      </c>
      <c r="CA12" s="13">
        <v>505486.41636700003</v>
      </c>
      <c r="CB12" s="13">
        <v>505583.69964200002</v>
      </c>
      <c r="CC12" s="13">
        <v>465000</v>
      </c>
      <c r="CD12" s="13">
        <v>465089.42622000002</v>
      </c>
      <c r="CE12" s="13">
        <v>465178.852442</v>
      </c>
      <c r="CF12" s="13">
        <v>465447.1311</v>
      </c>
      <c r="CG12" s="13">
        <v>465536.55732399999</v>
      </c>
      <c r="CH12" s="13">
        <v>565000</v>
      </c>
      <c r="CI12" s="13">
        <v>565109.27495800005</v>
      </c>
      <c r="CJ12" s="13">
        <v>565218.54991599999</v>
      </c>
      <c r="CK12" s="13">
        <v>565546.37478800002</v>
      </c>
      <c r="CL12" s="13">
        <v>565655.64974599995</v>
      </c>
      <c r="CM12" s="13">
        <v>615000</v>
      </c>
      <c r="CN12" s="13">
        <v>615238.72057899996</v>
      </c>
      <c r="CO12" s="13">
        <v>615596.80145200004</v>
      </c>
      <c r="CP12" s="13">
        <v>615716.16174000001</v>
      </c>
      <c r="CQ12" s="13">
        <v>485000</v>
      </c>
      <c r="CR12" s="13">
        <v>485188.00287700002</v>
      </c>
      <c r="CS12" s="13">
        <v>485470.007193</v>
      </c>
      <c r="CT12" s="13">
        <v>485564.00862899999</v>
      </c>
      <c r="CU12" s="13">
        <v>415000</v>
      </c>
      <c r="CV12" s="13">
        <v>415080.401916</v>
      </c>
      <c r="CW12" s="13">
        <v>415402.00959500001</v>
      </c>
      <c r="CX12" s="13">
        <v>415482.41151399998</v>
      </c>
      <c r="CY12" s="13">
        <v>600000</v>
      </c>
      <c r="CZ12" s="13">
        <v>600116.16283399996</v>
      </c>
      <c r="DA12" s="13">
        <v>600232.32566500001</v>
      </c>
      <c r="DB12" s="27">
        <v>600580.81416199997</v>
      </c>
      <c r="DC12" s="27">
        <v>600696.97699700005</v>
      </c>
      <c r="DD12" s="27">
        <v>565000</v>
      </c>
      <c r="DE12" s="27">
        <v>565109.434778</v>
      </c>
      <c r="DF12" s="27">
        <v>565218.86955199996</v>
      </c>
      <c r="DG12" s="27">
        <v>565547.17388300004</v>
      </c>
      <c r="DH12" s="27">
        <v>565656.60866000003</v>
      </c>
      <c r="DI12" s="27">
        <v>540000</v>
      </c>
      <c r="DJ12" s="27">
        <v>540123.46521699999</v>
      </c>
      <c r="DK12" s="27">
        <v>540246.93043199996</v>
      </c>
      <c r="DL12" s="27">
        <v>540308.66304150003</v>
      </c>
      <c r="DM12" s="27">
        <v>505000</v>
      </c>
      <c r="DN12" s="28">
        <v>505097.77103399998</v>
      </c>
      <c r="DO12" s="28">
        <v>505195.54206200002</v>
      </c>
      <c r="DP12" s="28">
        <v>505488.85515900003</v>
      </c>
      <c r="DQ12" s="28">
        <v>505586.62618999998</v>
      </c>
      <c r="DR12" s="28">
        <v>385000</v>
      </c>
      <c r="DS12" s="28">
        <v>385074.63846500003</v>
      </c>
      <c r="DT12" s="28">
        <v>385149.27692899999</v>
      </c>
      <c r="DU12" s="28">
        <v>385373.192324</v>
      </c>
      <c r="DV12" s="28">
        <v>385447.830785</v>
      </c>
      <c r="DW12" s="28">
        <v>527700</v>
      </c>
      <c r="DX12" s="28">
        <v>527802.190665</v>
      </c>
      <c r="DY12" s="28">
        <v>527904.38133600005</v>
      </c>
      <c r="DZ12" s="28">
        <v>528210.95333100006</v>
      </c>
      <c r="EA12" s="28">
        <v>528313.14399300003</v>
      </c>
      <c r="EB12" s="28">
        <v>625000</v>
      </c>
      <c r="EC12" s="28">
        <v>625122.30969699996</v>
      </c>
      <c r="ED12" s="28">
        <v>625244.61939200002</v>
      </c>
      <c r="EE12" s="28">
        <v>625611.54848400003</v>
      </c>
      <c r="EF12" s="28">
        <v>625733.85818099999</v>
      </c>
    </row>
    <row r="13" spans="1:136" ht="16.5" customHeight="1" x14ac:dyDescent="0.3">
      <c r="A13" s="2" t="s">
        <v>23</v>
      </c>
      <c r="B13" s="13">
        <v>0</v>
      </c>
      <c r="C13" s="13">
        <v>0</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0</v>
      </c>
      <c r="Z13" s="13">
        <v>0</v>
      </c>
      <c r="AA13" s="13">
        <v>0</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row>
    <row r="14" spans="1:136" x14ac:dyDescent="0.3">
      <c r="A14" s="2" t="s">
        <v>24</v>
      </c>
      <c r="B14" s="13">
        <v>70073.379272000006</v>
      </c>
      <c r="C14" s="13">
        <v>0</v>
      </c>
      <c r="D14" s="13">
        <v>0</v>
      </c>
      <c r="E14" s="13">
        <v>75071.402533999993</v>
      </c>
      <c r="F14" s="13">
        <v>0</v>
      </c>
      <c r="G14" s="13">
        <v>25005.755464000002</v>
      </c>
      <c r="H14" s="13">
        <v>136120.297192</v>
      </c>
      <c r="I14" s="13">
        <v>0</v>
      </c>
      <c r="J14" s="13">
        <v>0</v>
      </c>
      <c r="K14" s="13">
        <v>207714.83435700001</v>
      </c>
      <c r="L14" s="13">
        <v>70014.115493999998</v>
      </c>
      <c r="M14" s="13">
        <v>0</v>
      </c>
      <c r="N14" s="13">
        <v>185715.49213100001</v>
      </c>
      <c r="O14" s="13">
        <v>215000</v>
      </c>
      <c r="P14" s="13">
        <v>215171.655925</v>
      </c>
      <c r="Q14" s="13">
        <v>0</v>
      </c>
      <c r="R14" s="13">
        <v>0</v>
      </c>
      <c r="S14" s="13">
        <v>0</v>
      </c>
      <c r="T14" s="13">
        <v>0</v>
      </c>
      <c r="U14" s="13">
        <v>0</v>
      </c>
      <c r="V14" s="13">
        <v>0</v>
      </c>
      <c r="W14" s="13">
        <v>0</v>
      </c>
      <c r="X14" s="13">
        <v>0</v>
      </c>
      <c r="Y14" s="13">
        <v>0</v>
      </c>
      <c r="Z14" s="13">
        <v>0</v>
      </c>
      <c r="AA14" s="13">
        <v>0</v>
      </c>
      <c r="AB14" s="13">
        <v>0</v>
      </c>
      <c r="AC14" s="13">
        <v>20000</v>
      </c>
      <c r="AD14" s="13">
        <v>20011.956578000001</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50000</v>
      </c>
      <c r="AW14" s="13">
        <v>50028.854033000003</v>
      </c>
      <c r="AX14" s="13">
        <v>50038.472044000002</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173300</v>
      </c>
      <c r="BT14" s="13">
        <v>173332.986626</v>
      </c>
      <c r="BU14" s="13">
        <v>173365.97325800001</v>
      </c>
      <c r="BV14" s="13">
        <v>173464.93314000001</v>
      </c>
      <c r="BW14" s="13">
        <v>173497.919769</v>
      </c>
      <c r="BX14" s="13">
        <v>0</v>
      </c>
      <c r="BY14" s="13">
        <v>0</v>
      </c>
      <c r="BZ14" s="13">
        <v>0</v>
      </c>
      <c r="CA14" s="13">
        <v>0</v>
      </c>
      <c r="CB14" s="13">
        <v>0</v>
      </c>
      <c r="CC14" s="13">
        <v>0</v>
      </c>
      <c r="CD14" s="13">
        <v>0</v>
      </c>
      <c r="CE14" s="13">
        <v>0</v>
      </c>
      <c r="CF14" s="13">
        <v>0</v>
      </c>
      <c r="CG14" s="13">
        <v>30000</v>
      </c>
      <c r="CH14" s="13">
        <v>168800</v>
      </c>
      <c r="CI14" s="13">
        <v>168831.70423199999</v>
      </c>
      <c r="CJ14" s="13">
        <v>168863.40846499999</v>
      </c>
      <c r="CK14" s="13">
        <v>168958.52116400001</v>
      </c>
      <c r="CL14" s="13">
        <v>168990.225397</v>
      </c>
      <c r="CM14" s="13">
        <v>200000</v>
      </c>
      <c r="CN14" s="13">
        <v>200076.378554</v>
      </c>
      <c r="CO14" s="13">
        <v>200190.946383</v>
      </c>
      <c r="CP14" s="13">
        <v>200229.13565899999</v>
      </c>
      <c r="CQ14" s="13">
        <v>100000</v>
      </c>
      <c r="CR14" s="13">
        <v>100037.78357699999</v>
      </c>
      <c r="CS14" s="13">
        <v>100094.45894500001</v>
      </c>
      <c r="CT14" s="13">
        <v>100113.35073400001</v>
      </c>
      <c r="CU14" s="13">
        <v>0</v>
      </c>
      <c r="CV14" s="13">
        <v>0</v>
      </c>
      <c r="CW14" s="13">
        <v>0</v>
      </c>
      <c r="CX14" s="13">
        <v>20500</v>
      </c>
      <c r="CY14" s="13">
        <v>125000</v>
      </c>
      <c r="CZ14" s="13">
        <v>125023.69698199999</v>
      </c>
      <c r="DA14" s="13">
        <v>125047.393969</v>
      </c>
      <c r="DB14" s="13">
        <v>125118.48491899999</v>
      </c>
      <c r="DC14" s="13">
        <v>125142.181903</v>
      </c>
      <c r="DD14" s="13">
        <v>0</v>
      </c>
      <c r="DE14" s="13">
        <v>0</v>
      </c>
      <c r="DF14" s="13">
        <v>0</v>
      </c>
      <c r="DG14" s="13">
        <v>0</v>
      </c>
      <c r="DH14" s="13">
        <v>0</v>
      </c>
      <c r="DI14" s="13">
        <v>100000</v>
      </c>
      <c r="DJ14" s="13">
        <v>100123.465218</v>
      </c>
      <c r="DK14" s="13">
        <v>100246.93043199999</v>
      </c>
      <c r="DL14" s="13">
        <v>100308.6630415</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237700.90265100001</v>
      </c>
      <c r="EC14" s="13">
        <v>237745.89804100001</v>
      </c>
      <c r="ED14" s="13">
        <v>237790.89343200001</v>
      </c>
      <c r="EE14" s="13">
        <v>237925.87960499999</v>
      </c>
      <c r="EF14" s="13">
        <v>237970.87499499999</v>
      </c>
    </row>
    <row r="15" spans="1:136" x14ac:dyDescent="0.3">
      <c r="A15" s="2" t="s">
        <v>25</v>
      </c>
      <c r="B15" s="13">
        <v>0</v>
      </c>
      <c r="C15" s="13">
        <v>0</v>
      </c>
      <c r="D15" s="13">
        <v>0</v>
      </c>
      <c r="E15" s="13">
        <v>0</v>
      </c>
      <c r="F15" s="13">
        <v>7000</v>
      </c>
      <c r="G15" s="13">
        <v>0</v>
      </c>
      <c r="H15" s="13">
        <v>0</v>
      </c>
      <c r="I15" s="13">
        <v>0</v>
      </c>
      <c r="J15" s="13">
        <v>0</v>
      </c>
      <c r="K15" s="13">
        <v>0</v>
      </c>
      <c r="L15" s="13">
        <v>0</v>
      </c>
      <c r="M15" s="13">
        <v>0</v>
      </c>
      <c r="N15" s="13">
        <v>0</v>
      </c>
      <c r="O15" s="13">
        <v>23500</v>
      </c>
      <c r="P15" s="13">
        <v>10500</v>
      </c>
      <c r="Q15" s="13">
        <v>1000</v>
      </c>
      <c r="R15" s="13">
        <v>0</v>
      </c>
      <c r="S15" s="13">
        <v>0</v>
      </c>
      <c r="T15" s="13">
        <v>0</v>
      </c>
      <c r="U15" s="13">
        <v>0</v>
      </c>
      <c r="V15" s="13">
        <v>0</v>
      </c>
      <c r="W15" s="13">
        <v>0</v>
      </c>
      <c r="X15" s="13">
        <v>0</v>
      </c>
      <c r="Y15" s="13">
        <v>0</v>
      </c>
      <c r="Z15" s="13">
        <v>0</v>
      </c>
      <c r="AA15" s="13">
        <v>0</v>
      </c>
      <c r="AB15" s="13">
        <v>5700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3000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38500</v>
      </c>
      <c r="BN15" s="13">
        <v>0</v>
      </c>
      <c r="BO15" s="13">
        <v>0</v>
      </c>
      <c r="BP15" s="13">
        <v>0</v>
      </c>
      <c r="BQ15" s="13">
        <v>0</v>
      </c>
      <c r="BR15" s="13">
        <v>0</v>
      </c>
      <c r="BS15" s="13">
        <v>0</v>
      </c>
      <c r="BT15" s="13">
        <v>0</v>
      </c>
      <c r="BU15" s="13">
        <v>0</v>
      </c>
      <c r="BV15" s="13">
        <v>0</v>
      </c>
      <c r="BW15" s="13">
        <v>0</v>
      </c>
      <c r="BX15" s="13">
        <v>0</v>
      </c>
      <c r="BY15" s="13">
        <v>0</v>
      </c>
      <c r="BZ15" s="13">
        <v>0</v>
      </c>
      <c r="CA15" s="13">
        <v>0</v>
      </c>
      <c r="CB15" s="13">
        <v>0</v>
      </c>
      <c r="CC15" s="13">
        <v>0</v>
      </c>
      <c r="CD15" s="13">
        <v>0</v>
      </c>
      <c r="CE15" s="13">
        <v>0</v>
      </c>
      <c r="CF15" s="13">
        <v>15000</v>
      </c>
      <c r="CG15" s="13">
        <v>0</v>
      </c>
      <c r="CH15" s="13">
        <v>0</v>
      </c>
      <c r="CI15" s="13">
        <v>0</v>
      </c>
      <c r="CJ15" s="13">
        <v>0</v>
      </c>
      <c r="CK15" s="13">
        <v>0</v>
      </c>
      <c r="CL15" s="13">
        <v>0</v>
      </c>
      <c r="CM15" s="13">
        <v>0</v>
      </c>
      <c r="CN15" s="13">
        <v>0</v>
      </c>
      <c r="CO15" s="13">
        <v>0</v>
      </c>
      <c r="CP15" s="13">
        <v>0</v>
      </c>
      <c r="CQ15" s="13">
        <v>0</v>
      </c>
      <c r="CR15" s="13">
        <v>0</v>
      </c>
      <c r="CS15" s="13">
        <v>0</v>
      </c>
      <c r="CT15" s="13">
        <v>0</v>
      </c>
      <c r="CU15" s="13">
        <v>16000</v>
      </c>
      <c r="CV15" s="13">
        <v>0</v>
      </c>
      <c r="CW15" s="13">
        <v>6000</v>
      </c>
      <c r="CX15" s="13">
        <v>0</v>
      </c>
      <c r="CY15" s="13">
        <v>0</v>
      </c>
      <c r="CZ15" s="13">
        <v>0</v>
      </c>
      <c r="DA15" s="13">
        <v>0</v>
      </c>
      <c r="DB15" s="13">
        <v>0</v>
      </c>
      <c r="DC15" s="13">
        <v>0</v>
      </c>
      <c r="DD15" s="13">
        <v>0</v>
      </c>
      <c r="DE15" s="13">
        <v>0</v>
      </c>
      <c r="DF15" s="13">
        <v>0</v>
      </c>
      <c r="DG15" s="13">
        <v>0</v>
      </c>
      <c r="DH15" s="13">
        <v>4000</v>
      </c>
      <c r="DI15" s="13">
        <v>0</v>
      </c>
      <c r="DJ15" s="13">
        <v>0</v>
      </c>
      <c r="DK15" s="13">
        <v>0</v>
      </c>
      <c r="DL15" s="13">
        <v>0</v>
      </c>
      <c r="DM15" s="13">
        <v>0</v>
      </c>
      <c r="DN15" s="13">
        <v>0</v>
      </c>
      <c r="DO15" s="13">
        <v>0</v>
      </c>
      <c r="DP15" s="13">
        <v>0</v>
      </c>
      <c r="DQ15" s="13">
        <v>0</v>
      </c>
      <c r="DR15" s="13">
        <v>0</v>
      </c>
      <c r="DS15" s="13">
        <v>0</v>
      </c>
      <c r="DT15" s="13">
        <v>0</v>
      </c>
      <c r="DU15" s="13">
        <v>0</v>
      </c>
      <c r="DV15" s="13">
        <v>0</v>
      </c>
      <c r="DW15" s="13">
        <v>0</v>
      </c>
      <c r="DX15" s="13">
        <v>0</v>
      </c>
      <c r="DY15" s="13">
        <v>0</v>
      </c>
      <c r="DZ15" s="13">
        <v>0</v>
      </c>
      <c r="EA15" s="13">
        <v>0</v>
      </c>
      <c r="EB15" s="13">
        <v>0</v>
      </c>
      <c r="EC15" s="13">
        <v>0</v>
      </c>
      <c r="ED15" s="13">
        <v>0</v>
      </c>
      <c r="EE15" s="13">
        <v>0</v>
      </c>
      <c r="EF15" s="13">
        <v>0</v>
      </c>
    </row>
    <row r="16" spans="1:136" x14ac:dyDescent="0.3">
      <c r="A16" s="2" t="s">
        <v>9</v>
      </c>
      <c r="B16" s="13">
        <v>0</v>
      </c>
      <c r="C16" s="13">
        <v>0</v>
      </c>
      <c r="D16" s="13">
        <v>0</v>
      </c>
      <c r="E16" s="13">
        <v>0</v>
      </c>
      <c r="F16" s="13">
        <v>0</v>
      </c>
      <c r="G16" s="13">
        <v>0</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0</v>
      </c>
      <c r="AV16" s="13">
        <v>0</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0</v>
      </c>
      <c r="BQ16" s="13">
        <v>0</v>
      </c>
      <c r="BR16" s="13">
        <v>0</v>
      </c>
      <c r="BS16" s="13">
        <v>0</v>
      </c>
      <c r="BT16" s="13">
        <v>0</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row>
    <row r="17" spans="1:136" x14ac:dyDescent="0.3">
      <c r="A17" s="2" t="s">
        <v>10</v>
      </c>
      <c r="B17" s="13">
        <v>0</v>
      </c>
      <c r="C17" s="13">
        <v>0</v>
      </c>
      <c r="D17" s="13">
        <v>0</v>
      </c>
      <c r="E17" s="13">
        <v>0</v>
      </c>
      <c r="F17" s="13">
        <v>0</v>
      </c>
      <c r="G17" s="13">
        <v>0</v>
      </c>
      <c r="H17" s="13">
        <v>0</v>
      </c>
      <c r="I17" s="13">
        <v>0</v>
      </c>
      <c r="J17" s="13">
        <v>0</v>
      </c>
      <c r="K17" s="13">
        <v>-1000.1639344</v>
      </c>
      <c r="L17" s="13">
        <v>0</v>
      </c>
      <c r="M17" s="13">
        <v>0</v>
      </c>
      <c r="N17" s="13">
        <v>-2000.6010929000001</v>
      </c>
      <c r="O17" s="13">
        <v>0</v>
      </c>
      <c r="P17" s="13">
        <v>0</v>
      </c>
      <c r="Q17" s="13">
        <v>0</v>
      </c>
      <c r="R17" s="13">
        <v>0</v>
      </c>
      <c r="S17" s="13">
        <v>-3000.4520548</v>
      </c>
      <c r="T17" s="13">
        <v>-38005.726027500001</v>
      </c>
      <c r="U17" s="13">
        <v>-45606.871233000005</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-3000.4315068000001</v>
      </c>
      <c r="AM17" s="13">
        <v>-9951.4311644000009</v>
      </c>
      <c r="AN17" s="13">
        <v>-36455.242808200004</v>
      </c>
      <c r="AO17" s="13"/>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-5000.7191781000001</v>
      </c>
      <c r="BK17" s="13">
        <v>-6500.9349314999999</v>
      </c>
      <c r="BL17" s="13">
        <v>-25003.5958904</v>
      </c>
      <c r="BM17" s="13">
        <v>-12301.769178099999</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-12751.833904100002</v>
      </c>
      <c r="CF17" s="13">
        <v>-9501.3664384000003</v>
      </c>
      <c r="CG17" s="13">
        <v>-14902.143150599999</v>
      </c>
      <c r="CH17" s="13">
        <v>0</v>
      </c>
      <c r="CI17" s="13">
        <v>0</v>
      </c>
      <c r="CJ17" s="13">
        <v>0</v>
      </c>
      <c r="CK17" s="13">
        <v>0</v>
      </c>
      <c r="CL17" s="13">
        <v>0</v>
      </c>
      <c r="CM17" s="13">
        <v>0</v>
      </c>
      <c r="CN17" s="13">
        <v>0</v>
      </c>
      <c r="CO17" s="13">
        <v>0</v>
      </c>
      <c r="CP17" s="13">
        <v>0</v>
      </c>
      <c r="CQ17" s="13">
        <v>0</v>
      </c>
      <c r="CR17" s="13">
        <v>0</v>
      </c>
      <c r="CS17" s="13">
        <v>-3000.4315068000001</v>
      </c>
      <c r="CT17" s="13">
        <v>0</v>
      </c>
      <c r="CU17" s="13">
        <v>0</v>
      </c>
      <c r="CV17" s="13">
        <v>-2000.2876712</v>
      </c>
      <c r="CW17" s="13">
        <v>-2200.3164383999997</v>
      </c>
      <c r="CX17" s="13">
        <v>-24653.545547899997</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-60008.630137</v>
      </c>
      <c r="DQ17" s="13">
        <v>-60008.630137</v>
      </c>
      <c r="DR17" s="13">
        <v>0</v>
      </c>
      <c r="DS17" s="13">
        <v>0</v>
      </c>
      <c r="DT17" s="13">
        <v>-10001.4383562</v>
      </c>
      <c r="DU17" s="13">
        <v>-24003.4520548</v>
      </c>
      <c r="DV17" s="13">
        <v>-79811.478082100002</v>
      </c>
      <c r="DW17" s="13">
        <v>0</v>
      </c>
      <c r="DX17" s="13">
        <v>0</v>
      </c>
      <c r="DY17" s="13">
        <v>0</v>
      </c>
      <c r="DZ17" s="13">
        <v>0</v>
      </c>
      <c r="EA17" s="13">
        <v>0</v>
      </c>
      <c r="EB17" s="13">
        <v>0</v>
      </c>
      <c r="EC17" s="13">
        <v>0</v>
      </c>
      <c r="ED17" s="13">
        <v>0</v>
      </c>
      <c r="EE17" s="13">
        <v>0</v>
      </c>
      <c r="EF17" s="13">
        <v>0</v>
      </c>
    </row>
    <row r="18" spans="1:136" x14ac:dyDescent="0.3">
      <c r="A18" s="2" t="s">
        <v>12</v>
      </c>
      <c r="B18" s="13">
        <v>0</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row>
    <row r="19" spans="1:136" x14ac:dyDescent="0.3">
      <c r="A19" s="2" t="s">
        <v>18</v>
      </c>
      <c r="B19" s="13">
        <v>0</v>
      </c>
      <c r="C19" s="13">
        <v>0</v>
      </c>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row>
    <row r="20" spans="1:136" ht="18.75" customHeight="1" x14ac:dyDescent="0.3">
      <c r="A20" s="2" t="s">
        <v>11</v>
      </c>
      <c r="B20" s="13">
        <v>0</v>
      </c>
      <c r="C20" s="13">
        <v>0</v>
      </c>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0</v>
      </c>
      <c r="Z20" s="13">
        <v>0</v>
      </c>
      <c r="AA20" s="13">
        <v>0</v>
      </c>
      <c r="AB20" s="13">
        <v>0</v>
      </c>
      <c r="AC20" s="13">
        <v>0</v>
      </c>
      <c r="AD20" s="13">
        <v>0</v>
      </c>
      <c r="AE20" s="13">
        <v>0</v>
      </c>
      <c r="AF20" s="13">
        <v>0</v>
      </c>
      <c r="AG20" s="13">
        <v>0</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0</v>
      </c>
      <c r="BL20" s="13">
        <v>0</v>
      </c>
      <c r="BM20" s="13">
        <v>0</v>
      </c>
      <c r="BN20" s="13">
        <v>0</v>
      </c>
      <c r="BO20" s="13">
        <v>0</v>
      </c>
      <c r="BP20" s="13">
        <v>0</v>
      </c>
      <c r="BQ20" s="13">
        <v>0</v>
      </c>
      <c r="BR20" s="13">
        <v>0</v>
      </c>
      <c r="BS20" s="13">
        <v>0</v>
      </c>
      <c r="BT20" s="13">
        <v>0</v>
      </c>
      <c r="BU20" s="13">
        <v>0</v>
      </c>
      <c r="BV20" s="13">
        <v>0</v>
      </c>
      <c r="BW20" s="13">
        <v>0</v>
      </c>
      <c r="BX20" s="13">
        <v>0</v>
      </c>
      <c r="BY20" s="13">
        <v>0</v>
      </c>
      <c r="BZ20" s="13">
        <v>0</v>
      </c>
      <c r="CA20" s="13">
        <v>0</v>
      </c>
      <c r="CB20" s="13">
        <v>0</v>
      </c>
      <c r="CC20" s="13">
        <v>0</v>
      </c>
      <c r="CD20" s="13">
        <v>0</v>
      </c>
      <c r="CE20" s="13">
        <v>0</v>
      </c>
      <c r="CF20" s="13">
        <v>0</v>
      </c>
      <c r="CG20" s="13">
        <v>0</v>
      </c>
      <c r="CH20" s="13">
        <v>0</v>
      </c>
      <c r="CI20" s="13">
        <v>0</v>
      </c>
      <c r="CJ20" s="13">
        <v>0</v>
      </c>
      <c r="CK20" s="13">
        <v>0</v>
      </c>
      <c r="CL20" s="13">
        <v>0</v>
      </c>
      <c r="CM20" s="13">
        <v>0</v>
      </c>
      <c r="CN20" s="13">
        <v>0</v>
      </c>
      <c r="CO20" s="13">
        <v>0</v>
      </c>
      <c r="CP20" s="13">
        <v>0</v>
      </c>
      <c r="CQ20" s="13">
        <v>0</v>
      </c>
      <c r="CR20" s="13">
        <v>0</v>
      </c>
      <c r="CS20" s="13">
        <v>0</v>
      </c>
      <c r="CT20" s="13">
        <v>0</v>
      </c>
      <c r="CU20" s="13">
        <v>0</v>
      </c>
      <c r="CV20" s="13">
        <v>0</v>
      </c>
      <c r="CW20" s="13">
        <v>0</v>
      </c>
      <c r="CX20" s="13">
        <v>0</v>
      </c>
      <c r="CY20" s="13">
        <v>0</v>
      </c>
      <c r="CZ20" s="13">
        <v>0</v>
      </c>
      <c r="DA20" s="13">
        <v>0</v>
      </c>
      <c r="DB20" s="13">
        <v>0</v>
      </c>
      <c r="DC20" s="13">
        <v>0</v>
      </c>
      <c r="DD20" s="13">
        <v>0</v>
      </c>
      <c r="DE20" s="13">
        <v>0</v>
      </c>
      <c r="DF20" s="13">
        <v>0</v>
      </c>
      <c r="DG20" s="13">
        <v>0</v>
      </c>
      <c r="DH20" s="13">
        <v>0</v>
      </c>
      <c r="DI20" s="13">
        <v>0</v>
      </c>
      <c r="DJ20" s="13">
        <v>0</v>
      </c>
      <c r="DK20" s="13">
        <v>0</v>
      </c>
      <c r="DL20" s="13">
        <v>0</v>
      </c>
      <c r="DM20" s="13">
        <v>0</v>
      </c>
      <c r="DN20" s="13">
        <v>0</v>
      </c>
      <c r="DO20" s="13">
        <v>0</v>
      </c>
      <c r="DP20" s="13">
        <v>0</v>
      </c>
      <c r="DQ20" s="13">
        <v>0</v>
      </c>
      <c r="DR20" s="13">
        <v>0</v>
      </c>
      <c r="DS20" s="13">
        <v>0</v>
      </c>
      <c r="DT20" s="13">
        <v>0</v>
      </c>
      <c r="DU20" s="13">
        <v>0</v>
      </c>
      <c r="DV20" s="13">
        <v>0</v>
      </c>
      <c r="DW20" s="13">
        <v>0</v>
      </c>
      <c r="DX20" s="13">
        <v>0</v>
      </c>
      <c r="DY20" s="13">
        <v>0</v>
      </c>
      <c r="DZ20" s="13">
        <v>0</v>
      </c>
      <c r="EA20" s="13">
        <v>0</v>
      </c>
      <c r="EB20" s="13">
        <v>0</v>
      </c>
      <c r="EC20" s="13">
        <v>0</v>
      </c>
      <c r="ED20" s="13">
        <v>0</v>
      </c>
      <c r="EE20" s="13">
        <v>0</v>
      </c>
      <c r="EF20" s="13">
        <v>0</v>
      </c>
    </row>
    <row r="21" spans="1:136" x14ac:dyDescent="0.3">
      <c r="A21" s="1" t="s">
        <v>16</v>
      </c>
      <c r="B21" s="13">
        <v>0</v>
      </c>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row>
    <row r="22" spans="1:136" x14ac:dyDescent="0.3">
      <c r="A22" s="2" t="s">
        <v>20</v>
      </c>
      <c r="B22" s="13">
        <v>452623.75134816219</v>
      </c>
      <c r="C22" s="13">
        <v>455736.11115331249</v>
      </c>
      <c r="D22" s="13">
        <v>454387.02767301316</v>
      </c>
      <c r="E22" s="13">
        <v>459829.67476498312</v>
      </c>
      <c r="F22" s="13">
        <v>468980.7402676834</v>
      </c>
      <c r="G22" s="13">
        <v>467241.79652870458</v>
      </c>
      <c r="H22" s="13">
        <v>464542.4565976247</v>
      </c>
      <c r="I22" s="13">
        <v>455701.75863900862</v>
      </c>
      <c r="J22" s="13">
        <v>447906.21248050174</v>
      </c>
      <c r="K22" s="13">
        <v>439936.07851556991</v>
      </c>
      <c r="L22" s="13">
        <v>434602.17360021337</v>
      </c>
      <c r="M22" s="13">
        <v>424015.12858017208</v>
      </c>
      <c r="N22" s="13">
        <v>418434.14247880911</v>
      </c>
      <c r="O22" s="13">
        <v>419497.73581455403</v>
      </c>
      <c r="P22" s="13">
        <v>416356.71968160395</v>
      </c>
      <c r="Q22" s="13">
        <v>419121.61965228192</v>
      </c>
      <c r="R22" s="13">
        <v>417906.86182154849</v>
      </c>
      <c r="S22" s="13">
        <v>420227.13201879291</v>
      </c>
      <c r="T22" s="13">
        <v>421783.53105584759</v>
      </c>
      <c r="U22" s="13">
        <v>419125.83159087843</v>
      </c>
      <c r="V22" s="13">
        <v>419172.4816113878</v>
      </c>
      <c r="W22" s="13">
        <v>420565.63147190143</v>
      </c>
      <c r="X22" s="13">
        <v>418716.17106768268</v>
      </c>
      <c r="Y22" s="13">
        <v>418188.22776142159</v>
      </c>
      <c r="Z22" s="13">
        <v>417359.79207411996</v>
      </c>
      <c r="AA22" s="13">
        <v>417359.79207411996</v>
      </c>
      <c r="AB22" s="13">
        <v>415387.36423977994</v>
      </c>
      <c r="AC22" s="13">
        <v>415387.36423977994</v>
      </c>
      <c r="AD22" s="13">
        <v>415387.36423977994</v>
      </c>
      <c r="AE22" s="13">
        <v>415387.36423977994</v>
      </c>
      <c r="AF22" s="13">
        <v>415387.36423977994</v>
      </c>
      <c r="AG22" s="13">
        <v>416584.25560045522</v>
      </c>
      <c r="AH22" s="13">
        <v>411813.61411012651</v>
      </c>
      <c r="AI22" s="13">
        <v>410343.11509201233</v>
      </c>
      <c r="AJ22" s="13">
        <v>413086.98324320978</v>
      </c>
      <c r="AK22" s="13">
        <v>414675.58716480318</v>
      </c>
      <c r="AL22" s="13">
        <v>415075.23824077495</v>
      </c>
      <c r="AM22" s="13">
        <v>417519.64578616584</v>
      </c>
      <c r="AN22" s="13">
        <v>414987.5019174536</v>
      </c>
      <c r="AO22" s="13">
        <v>437365.67393565597</v>
      </c>
      <c r="AP22" s="13">
        <v>437798.67786139948</v>
      </c>
      <c r="AQ22" s="13">
        <v>436451.3918593605</v>
      </c>
      <c r="AR22" s="13">
        <v>436222.86500550411</v>
      </c>
      <c r="AS22" s="13">
        <v>436190.10464107769</v>
      </c>
      <c r="AT22" s="13">
        <v>437047.57889206288</v>
      </c>
      <c r="AU22" s="13">
        <v>436666.72483126947</v>
      </c>
      <c r="AV22" s="13">
        <v>442485.39698602445</v>
      </c>
      <c r="AW22" s="13">
        <v>442610.31629577861</v>
      </c>
      <c r="AX22" s="13">
        <v>443043.88975580269</v>
      </c>
      <c r="AY22" s="13">
        <v>440799.06157733314</v>
      </c>
      <c r="AZ22" s="13">
        <v>439980.29870486574</v>
      </c>
      <c r="BA22" s="13">
        <v>441174.86002261098</v>
      </c>
      <c r="BB22" s="13">
        <v>438083.38454583741</v>
      </c>
      <c r="BC22" s="13">
        <v>436639.45631137048</v>
      </c>
      <c r="BD22" s="13">
        <v>434013.59775988676</v>
      </c>
      <c r="BE22" s="13">
        <v>432979.68930908362</v>
      </c>
      <c r="BF22" s="13">
        <v>434930.14061392948</v>
      </c>
      <c r="BG22" s="13">
        <v>436181.6444289746</v>
      </c>
      <c r="BH22" s="13">
        <v>436185.62848509289</v>
      </c>
      <c r="BI22" s="13">
        <v>436699.48399508593</v>
      </c>
      <c r="BJ22" s="13">
        <v>438214.25547567452</v>
      </c>
      <c r="BK22" s="13">
        <v>438916.72423286503</v>
      </c>
      <c r="BL22" s="13">
        <v>432480.15885276627</v>
      </c>
      <c r="BM22" s="13">
        <v>437964.4638965358</v>
      </c>
      <c r="BN22" s="13">
        <v>438442.42267248267</v>
      </c>
      <c r="BO22" s="13">
        <v>437948.29585773346</v>
      </c>
      <c r="BP22" s="13">
        <v>437249.67276421702</v>
      </c>
      <c r="BQ22" s="13">
        <v>437964.86361431051</v>
      </c>
      <c r="BR22" s="13">
        <v>438464.95602418028</v>
      </c>
      <c r="BS22" s="13">
        <v>438504.37647245126</v>
      </c>
      <c r="BT22" s="13">
        <v>434414.25291243033</v>
      </c>
      <c r="BU22" s="13">
        <v>435017.91887507448</v>
      </c>
      <c r="BV22" s="13">
        <v>436547.799583646</v>
      </c>
      <c r="BW22" s="13">
        <v>437771.73381403461</v>
      </c>
      <c r="BX22" s="13">
        <v>437942.38141401403</v>
      </c>
      <c r="BY22" s="13">
        <v>434268.70946166047</v>
      </c>
      <c r="BZ22" s="13">
        <v>435142.29203882313</v>
      </c>
      <c r="CA22" s="13">
        <v>432644.23809604126</v>
      </c>
      <c r="CB22" s="13">
        <v>434172.33543070825</v>
      </c>
      <c r="CC22" s="13">
        <v>430600.31691319868</v>
      </c>
      <c r="CD22" s="13">
        <v>433428.53814376658</v>
      </c>
      <c r="CE22" s="13">
        <v>430606.11194226786</v>
      </c>
      <c r="CF22" s="13">
        <v>431219.80038294522</v>
      </c>
      <c r="CG22" s="13">
        <v>431853.450782342</v>
      </c>
      <c r="CH22" s="13">
        <v>429977.45969790558</v>
      </c>
      <c r="CI22" s="13">
        <v>431229.81589621876</v>
      </c>
      <c r="CJ22" s="13">
        <v>429986.35999847658</v>
      </c>
      <c r="CK22" s="13">
        <v>428687.15067436267</v>
      </c>
      <c r="CL22" s="13">
        <v>428819.76632555737</v>
      </c>
      <c r="CM22" s="13">
        <v>431696.89683135343</v>
      </c>
      <c r="CN22" s="13">
        <v>430971.57413413655</v>
      </c>
      <c r="CO22" s="13">
        <v>431441.35287609068</v>
      </c>
      <c r="CP22" s="13">
        <v>412198.76835177327</v>
      </c>
      <c r="CQ22" s="13">
        <v>420350.70748514624</v>
      </c>
      <c r="CR22" s="13">
        <v>426229.7028118287</v>
      </c>
      <c r="CS22" s="13">
        <v>426122.20602476643</v>
      </c>
      <c r="CT22" s="13">
        <v>425510.75498387555</v>
      </c>
      <c r="CU22" s="13">
        <v>424595.6214896742</v>
      </c>
      <c r="CV22" s="13">
        <v>428097.27913780592</v>
      </c>
      <c r="CW22" s="13">
        <v>425132.27473925333</v>
      </c>
      <c r="CX22" s="13">
        <v>426977.87852288282</v>
      </c>
      <c r="CY22" s="13">
        <v>426366.86548624479</v>
      </c>
      <c r="CZ22" s="13">
        <v>428977.22109007521</v>
      </c>
      <c r="DA22" s="13">
        <v>429226.83768884349</v>
      </c>
      <c r="DB22" s="13">
        <v>428178.22555958875</v>
      </c>
      <c r="DC22" s="13">
        <v>432937.62725459412</v>
      </c>
      <c r="DD22" s="13">
        <v>430713.91341265582</v>
      </c>
      <c r="DE22" s="13">
        <v>432788.53675112675</v>
      </c>
      <c r="DF22" s="13">
        <v>432773.1026253103</v>
      </c>
      <c r="DG22" s="13">
        <v>427774.97023310186</v>
      </c>
      <c r="DH22" s="13">
        <v>427642.18282891135</v>
      </c>
      <c r="DI22" s="13">
        <v>426877.49106917565</v>
      </c>
      <c r="DJ22" s="13">
        <v>425715.95383354172</v>
      </c>
      <c r="DK22" s="13">
        <v>424124.72297841497</v>
      </c>
      <c r="DL22" s="13">
        <v>426349.58721659344</v>
      </c>
      <c r="DM22" s="13">
        <v>437938.77641876915</v>
      </c>
      <c r="DN22" s="13">
        <v>437393.68080359499</v>
      </c>
      <c r="DO22" s="13">
        <v>437758.68013398699</v>
      </c>
      <c r="DP22" s="13">
        <v>437950.83296468202</v>
      </c>
      <c r="DQ22" s="13">
        <v>434799.52037015161</v>
      </c>
      <c r="DR22" s="13">
        <v>436411.48145890119</v>
      </c>
      <c r="DS22" s="13">
        <v>434050.24622903625</v>
      </c>
      <c r="DT22" s="13">
        <v>436976.59870212374</v>
      </c>
      <c r="DU22" s="13">
        <v>435548.01075783221</v>
      </c>
      <c r="DV22" s="13">
        <v>434487.54977710242</v>
      </c>
      <c r="DW22" s="13">
        <v>434891.00385042455</v>
      </c>
      <c r="DX22" s="13">
        <v>433806.19719946058</v>
      </c>
      <c r="DY22" s="13">
        <v>430943.07849721063</v>
      </c>
      <c r="DZ22" s="13">
        <v>430643.01815434883</v>
      </c>
      <c r="EA22" s="13">
        <v>428498.72031429852</v>
      </c>
      <c r="EB22" s="13">
        <v>429951.5240899974</v>
      </c>
      <c r="EC22" s="13">
        <v>428224.30108527886</v>
      </c>
      <c r="ED22" s="13">
        <v>428445.31302664033</v>
      </c>
      <c r="EE22" s="13">
        <v>397209.56130846543</v>
      </c>
      <c r="EF22" s="13">
        <v>419675.94253776059</v>
      </c>
    </row>
    <row r="23" spans="1:136" s="21" customFormat="1" x14ac:dyDescent="0.3">
      <c r="A23" s="19" t="s">
        <v>4</v>
      </c>
      <c r="B23" s="20">
        <v>1845623.3761258002</v>
      </c>
      <c r="C23" s="20">
        <v>1679946.2623457001</v>
      </c>
      <c r="D23" s="20">
        <v>1649790.6211099999</v>
      </c>
      <c r="E23" s="20">
        <v>1737133.6538599001</v>
      </c>
      <c r="F23" s="20">
        <v>1686351.3380156998</v>
      </c>
      <c r="G23" s="20">
        <v>1640899.4259615003</v>
      </c>
      <c r="H23" s="20">
        <v>1846945.0300616999</v>
      </c>
      <c r="I23" s="20">
        <v>1691940.6462951002</v>
      </c>
      <c r="J23" s="20">
        <v>1784558.0585213001</v>
      </c>
      <c r="K23" s="20">
        <v>1913867.5623837998</v>
      </c>
      <c r="L23" s="20">
        <v>1746392.0131435995</v>
      </c>
      <c r="M23" s="20">
        <v>1677913.4258832</v>
      </c>
      <c r="N23" s="20">
        <v>2099904.5932891001</v>
      </c>
      <c r="O23" s="20">
        <v>1655412.2266294998</v>
      </c>
      <c r="P23" s="20">
        <v>1632528.4032765999</v>
      </c>
      <c r="Q23" s="20">
        <v>1609907.8922919</v>
      </c>
      <c r="R23" s="20">
        <v>1609149.3659362998</v>
      </c>
      <c r="S23" s="20">
        <v>1603014.7830145999</v>
      </c>
      <c r="T23" s="20">
        <v>1578153.8092936</v>
      </c>
      <c r="U23" s="20">
        <v>1562401.2197915001</v>
      </c>
      <c r="V23" s="20">
        <v>1833489.4500255003</v>
      </c>
      <c r="W23" s="20">
        <v>1820633.6517756998</v>
      </c>
      <c r="X23" s="20">
        <v>1775691.4491132</v>
      </c>
      <c r="Y23" s="20">
        <v>1714533.7769015997</v>
      </c>
      <c r="Z23" s="20">
        <v>1677119.6925997999</v>
      </c>
      <c r="AA23" s="20">
        <v>1759301.3165824998</v>
      </c>
      <c r="AB23" s="20">
        <v>1751587.0324928998</v>
      </c>
      <c r="AC23" s="20">
        <v>1769025.5974965</v>
      </c>
      <c r="AD23" s="20">
        <v>1761176.6440694998</v>
      </c>
      <c r="AE23" s="20">
        <v>1728007.9309950999</v>
      </c>
      <c r="AF23" s="20">
        <v>1728138.5460521001</v>
      </c>
      <c r="AG23" s="20">
        <v>1725685.8203578</v>
      </c>
      <c r="AH23" s="20">
        <v>1764444.633009</v>
      </c>
      <c r="AI23" s="20">
        <v>1762809.0465918998</v>
      </c>
      <c r="AJ23" s="20">
        <v>1769223.0626093999</v>
      </c>
      <c r="AK23" s="20">
        <v>1780289.3131268001</v>
      </c>
      <c r="AL23" s="20">
        <v>1791766.7613452</v>
      </c>
      <c r="AM23" s="20">
        <v>1783293.8625483001</v>
      </c>
      <c r="AN23" s="20">
        <v>1762609.0784568002</v>
      </c>
      <c r="AO23" s="20">
        <v>1786116.6538235999</v>
      </c>
      <c r="AP23" s="20">
        <v>1806265.3689558001</v>
      </c>
      <c r="AQ23" s="20">
        <v>1804686.8803807998</v>
      </c>
      <c r="AR23" s="20">
        <v>1807570.2789907998</v>
      </c>
      <c r="AS23" s="20">
        <v>1785232.8838177999</v>
      </c>
      <c r="AT23" s="20">
        <v>1757651.4789813</v>
      </c>
      <c r="AU23" s="20">
        <v>1729340.1744314001</v>
      </c>
      <c r="AV23" s="20">
        <v>1786280.6780292997</v>
      </c>
      <c r="AW23" s="20">
        <v>1781948.5141744001</v>
      </c>
      <c r="AX23" s="20">
        <v>1781936.1866076</v>
      </c>
      <c r="AY23" s="20">
        <v>1747727.6720737002</v>
      </c>
      <c r="AZ23" s="20">
        <v>1752736.720438</v>
      </c>
      <c r="BA23" s="20">
        <v>1770197.8560655001</v>
      </c>
      <c r="BB23" s="20">
        <v>1805442.4077671999</v>
      </c>
      <c r="BC23" s="20">
        <v>1805110.3934963003</v>
      </c>
      <c r="BD23" s="20">
        <v>1828774.8757846002</v>
      </c>
      <c r="BE23" s="20">
        <v>1841676.1870963001</v>
      </c>
      <c r="BF23" s="20">
        <v>1854646.4055538999</v>
      </c>
      <c r="BG23" s="20">
        <v>1854079.5187544001</v>
      </c>
      <c r="BH23" s="20">
        <v>1868554.1058254002</v>
      </c>
      <c r="BI23" s="20">
        <v>1793644.6219207004</v>
      </c>
      <c r="BJ23" s="20">
        <v>1780745.1169095</v>
      </c>
      <c r="BK23" s="20">
        <v>1793999.1432196</v>
      </c>
      <c r="BL23" s="20">
        <v>1759303.1583710003</v>
      </c>
      <c r="BM23" s="20">
        <v>1798469.1891489001</v>
      </c>
      <c r="BN23" s="20">
        <v>1864704.4535101997</v>
      </c>
      <c r="BO23" s="20">
        <v>1831988.1432939998</v>
      </c>
      <c r="BP23" s="20">
        <v>1825109.4111609999</v>
      </c>
      <c r="BQ23" s="20">
        <v>1818231.5358293001</v>
      </c>
      <c r="BR23" s="20">
        <v>1819902.7741130998</v>
      </c>
      <c r="BS23" s="20">
        <v>1944880.6789636002</v>
      </c>
      <c r="BT23" s="20">
        <v>1952739.8186024001</v>
      </c>
      <c r="BU23" s="20">
        <v>1974813.5551070997</v>
      </c>
      <c r="BV23" s="20">
        <v>2020033.7918934</v>
      </c>
      <c r="BW23" s="20">
        <v>2021099.4208697998</v>
      </c>
      <c r="BX23" s="20">
        <v>1759332.8485600001</v>
      </c>
      <c r="BY23" s="20">
        <v>1761162.8254265003</v>
      </c>
      <c r="BZ23" s="20">
        <v>1777314.1774476001</v>
      </c>
      <c r="CA23" s="20">
        <v>1774553.2128605</v>
      </c>
      <c r="CB23" s="20">
        <v>1794119.5685616003</v>
      </c>
      <c r="CC23" s="20">
        <v>1753538.0611380001</v>
      </c>
      <c r="CD23" s="20">
        <v>1733635.1001821999</v>
      </c>
      <c r="CE23" s="20">
        <v>1721568.6665821997</v>
      </c>
      <c r="CF23" s="20">
        <v>1745048.6973598001</v>
      </c>
      <c r="CG23" s="20">
        <v>1750568.8175493001</v>
      </c>
      <c r="CH23" s="20">
        <v>1986205.4329018998</v>
      </c>
      <c r="CI23" s="20">
        <v>1983734.7799733002</v>
      </c>
      <c r="CJ23" s="20">
        <v>1921843.9655517999</v>
      </c>
      <c r="CK23" s="20">
        <v>1803782.5564079997</v>
      </c>
      <c r="CL23" s="20">
        <v>1779990.2796049002</v>
      </c>
      <c r="CM23" s="20">
        <v>1869191.5708718002</v>
      </c>
      <c r="CN23" s="20">
        <v>1884524.0958036</v>
      </c>
      <c r="CO23" s="20">
        <v>1878746.5882991995</v>
      </c>
      <c r="CP23" s="20">
        <v>2165089.4485559007</v>
      </c>
      <c r="CQ23" s="20">
        <v>1838129.9115518001</v>
      </c>
      <c r="CR23" s="20">
        <v>1866062.2590491998</v>
      </c>
      <c r="CS23" s="20">
        <v>1867859.6249939997</v>
      </c>
      <c r="CT23" s="20">
        <v>1864909.2451491999</v>
      </c>
      <c r="CU23" s="20">
        <v>1726466.3391666999</v>
      </c>
      <c r="CV23" s="20">
        <v>1711876.8813209003</v>
      </c>
      <c r="CW23" s="20">
        <v>1709996.3094456999</v>
      </c>
      <c r="CX23" s="20">
        <v>1741739.1131030004</v>
      </c>
      <c r="CY23" s="20">
        <v>1989941.0209299</v>
      </c>
      <c r="CZ23" s="20">
        <v>1983397.4391163003</v>
      </c>
      <c r="DA23" s="20">
        <v>2004653.2694858999</v>
      </c>
      <c r="DB23" s="20">
        <v>1981773.1741990002</v>
      </c>
      <c r="DC23" s="20">
        <v>1960540.7067933001</v>
      </c>
      <c r="DD23" s="20">
        <v>1793796.1850974998</v>
      </c>
      <c r="DE23" s="20">
        <v>1786498.3179680002</v>
      </c>
      <c r="DF23" s="20">
        <v>1821528.3891200002</v>
      </c>
      <c r="DG23" s="20">
        <v>1826608.1957064001</v>
      </c>
      <c r="DH23" s="20">
        <v>1831380.8302465</v>
      </c>
      <c r="DI23" s="20">
        <v>1908022.2229459998</v>
      </c>
      <c r="DJ23" s="20">
        <v>1937092.7159003003</v>
      </c>
      <c r="DK23" s="20">
        <v>1967690.2412258</v>
      </c>
      <c r="DL23" s="20">
        <v>1977565.9306099</v>
      </c>
      <c r="DM23" s="20">
        <v>1871982.7647367003</v>
      </c>
      <c r="DN23" s="20">
        <v>1889152.7673947001</v>
      </c>
      <c r="DO23" s="20">
        <v>1882539.0670172004</v>
      </c>
      <c r="DP23" s="20">
        <v>1843326.4396806997</v>
      </c>
      <c r="DQ23" s="20">
        <v>1845563.5782520999</v>
      </c>
      <c r="DR23" s="20">
        <v>1783377.2769905997</v>
      </c>
      <c r="DS23" s="20">
        <v>1785734.6038929</v>
      </c>
      <c r="DT23" s="20">
        <v>1776841.8086528999</v>
      </c>
      <c r="DU23" s="20">
        <v>1760553.5671791001</v>
      </c>
      <c r="DV23" s="20">
        <v>1692500.4024273995</v>
      </c>
      <c r="DW23" s="20">
        <v>1902825.1246340999</v>
      </c>
      <c r="DX23" s="20">
        <v>1871658.867935</v>
      </c>
      <c r="DY23" s="20">
        <v>1817695.7602353001</v>
      </c>
      <c r="DZ23" s="20">
        <v>1818706.9802473998</v>
      </c>
      <c r="EA23" s="20">
        <v>1810716.4770458001</v>
      </c>
      <c r="EB23" s="20">
        <v>2160511.6688677003</v>
      </c>
      <c r="EC23" s="20">
        <v>2152935.6981104999</v>
      </c>
      <c r="ED23" s="20">
        <v>2177084.0680138003</v>
      </c>
      <c r="EE23" s="20">
        <v>2183645.1752704</v>
      </c>
      <c r="EF23" s="20">
        <v>2195607.3710528999</v>
      </c>
    </row>
    <row r="24" spans="1:136" x14ac:dyDescent="0.3">
      <c r="A24" s="2" t="s">
        <v>5</v>
      </c>
      <c r="B24" s="13">
        <v>911454.81216969993</v>
      </c>
      <c r="C24" s="13">
        <v>852071.27526949998</v>
      </c>
      <c r="D24" s="13">
        <v>845822.00421259995</v>
      </c>
      <c r="E24" s="13">
        <v>850939.25817619986</v>
      </c>
      <c r="F24" s="13">
        <v>845215.48278029985</v>
      </c>
      <c r="G24" s="13">
        <v>855915.59543370001</v>
      </c>
      <c r="H24" s="13">
        <v>885265.76098079991</v>
      </c>
      <c r="I24" s="13">
        <v>915032.53519300011</v>
      </c>
      <c r="J24" s="13">
        <v>930076.05141179997</v>
      </c>
      <c r="K24" s="13">
        <v>929502.41521340003</v>
      </c>
      <c r="L24" s="13">
        <v>923087.6008306999</v>
      </c>
      <c r="M24" s="13">
        <v>922478.20883469982</v>
      </c>
      <c r="N24" s="13">
        <v>986374.01862089988</v>
      </c>
      <c r="O24" s="13">
        <v>994317.99280589994</v>
      </c>
      <c r="P24" s="13">
        <v>987723.33479109989</v>
      </c>
      <c r="Q24" s="13">
        <v>978310.27224609989</v>
      </c>
      <c r="R24" s="13">
        <v>971945.59823919984</v>
      </c>
      <c r="S24" s="13">
        <v>965196.32632719993</v>
      </c>
      <c r="T24" s="13">
        <v>962193.35901719995</v>
      </c>
      <c r="U24" s="13">
        <v>957244.97051719995</v>
      </c>
      <c r="V24" s="13">
        <v>952988.43238719983</v>
      </c>
      <c r="W24" s="13">
        <v>950103.17171639996</v>
      </c>
      <c r="X24" s="13">
        <v>949402.58199490001</v>
      </c>
      <c r="Y24" s="13">
        <v>945394.62635489984</v>
      </c>
      <c r="Z24" s="13">
        <v>937445.22430489992</v>
      </c>
      <c r="AA24" s="13">
        <v>931836.02333320002</v>
      </c>
      <c r="AB24" s="13">
        <v>927014.14785319997</v>
      </c>
      <c r="AC24" s="13">
        <v>928199.02531249984</v>
      </c>
      <c r="AD24" s="13">
        <v>929877.60881249991</v>
      </c>
      <c r="AE24" s="13">
        <v>926641.65366749989</v>
      </c>
      <c r="AF24" s="13">
        <v>924857.98574819998</v>
      </c>
      <c r="AG24" s="13">
        <v>926779.10901819996</v>
      </c>
      <c r="AH24" s="13">
        <v>931720.02262940002</v>
      </c>
      <c r="AI24" s="13">
        <v>933741.6858794</v>
      </c>
      <c r="AJ24" s="13">
        <v>936862.53310940007</v>
      </c>
      <c r="AK24" s="13">
        <v>940835.78110939998</v>
      </c>
      <c r="AL24" s="13">
        <v>945542.41051940003</v>
      </c>
      <c r="AM24" s="13">
        <v>948788.66756859992</v>
      </c>
      <c r="AN24" s="13">
        <v>949351.44643429993</v>
      </c>
      <c r="AO24" s="13">
        <v>947175.55223429995</v>
      </c>
      <c r="AP24" s="13">
        <v>947165.11236469995</v>
      </c>
      <c r="AQ24" s="13">
        <v>950780.86551469995</v>
      </c>
      <c r="AR24" s="13">
        <v>950002.67689560005</v>
      </c>
      <c r="AS24" s="13">
        <v>948166.86852659995</v>
      </c>
      <c r="AT24" s="13">
        <v>944516.29399660008</v>
      </c>
      <c r="AU24" s="13">
        <v>942759.56429859996</v>
      </c>
      <c r="AV24" s="13">
        <v>941645.22249860002</v>
      </c>
      <c r="AW24" s="13">
        <v>938042.64971860009</v>
      </c>
      <c r="AX24" s="13">
        <v>931912.28401860001</v>
      </c>
      <c r="AY24" s="13">
        <v>929323.27903859993</v>
      </c>
      <c r="AZ24" s="13">
        <v>930120.61943860003</v>
      </c>
      <c r="BA24" s="13">
        <v>935927.8079282</v>
      </c>
      <c r="BB24" s="13">
        <v>938396.52904519998</v>
      </c>
      <c r="BC24" s="13">
        <v>941625.77098520007</v>
      </c>
      <c r="BD24" s="13">
        <v>945557.97748520004</v>
      </c>
      <c r="BE24" s="13">
        <v>950527.57415520004</v>
      </c>
      <c r="BF24" s="13">
        <v>955930.51525519998</v>
      </c>
      <c r="BG24" s="13">
        <v>959835.24315680005</v>
      </c>
      <c r="BH24" s="13">
        <v>963213.36212680012</v>
      </c>
      <c r="BI24" s="13">
        <v>962821.94867680001</v>
      </c>
      <c r="BJ24" s="13">
        <v>963221.11007679999</v>
      </c>
      <c r="BK24" s="13">
        <v>966623.25453969999</v>
      </c>
      <c r="BL24" s="13">
        <v>966105.06425170007</v>
      </c>
      <c r="BM24" s="13">
        <v>961386.22524170007</v>
      </c>
      <c r="BN24" s="13">
        <v>958415.67816849996</v>
      </c>
      <c r="BO24" s="13">
        <v>955166.1148008001</v>
      </c>
      <c r="BP24" s="13">
        <v>954703.489481</v>
      </c>
      <c r="BQ24" s="13">
        <v>950029.32883599994</v>
      </c>
      <c r="BR24" s="13">
        <v>943273.00251160003</v>
      </c>
      <c r="BS24" s="13">
        <v>939314.28308520012</v>
      </c>
      <c r="BT24" s="13">
        <v>936306.1787852</v>
      </c>
      <c r="BU24" s="13">
        <v>938034.94009719999</v>
      </c>
      <c r="BV24" s="13">
        <v>939609.52257369994</v>
      </c>
      <c r="BW24" s="13">
        <v>941186.8900437</v>
      </c>
      <c r="BX24" s="13">
        <v>944474.79466370016</v>
      </c>
      <c r="BY24" s="13">
        <v>948847.33910370001</v>
      </c>
      <c r="BZ24" s="13">
        <v>958332.11194980005</v>
      </c>
      <c r="CA24" s="13">
        <v>962176.68444980006</v>
      </c>
      <c r="CB24" s="13">
        <v>963365.58266980003</v>
      </c>
      <c r="CC24" s="13">
        <v>964236.54019550001</v>
      </c>
      <c r="CD24" s="13">
        <v>964621.70765649993</v>
      </c>
      <c r="CE24" s="13">
        <v>969537.56252100004</v>
      </c>
      <c r="CF24" s="13">
        <v>971483.36295300012</v>
      </c>
      <c r="CG24" s="13">
        <v>971430.13693300006</v>
      </c>
      <c r="CH24" s="13">
        <v>971332.438784</v>
      </c>
      <c r="CI24" s="13">
        <v>972325.76969410002</v>
      </c>
      <c r="CJ24" s="13">
        <v>974804.73399410001</v>
      </c>
      <c r="CK24" s="13">
        <v>973205.69128589996</v>
      </c>
      <c r="CL24" s="13">
        <v>969708.17151510005</v>
      </c>
      <c r="CM24" s="13">
        <v>968055.07423510007</v>
      </c>
      <c r="CN24" s="13">
        <v>968075.98514970008</v>
      </c>
      <c r="CO24" s="13">
        <v>962940.67733560002</v>
      </c>
      <c r="CP24" s="13">
        <v>960115.38454980007</v>
      </c>
      <c r="CQ24" s="13">
        <v>964986.39313490014</v>
      </c>
      <c r="CR24" s="13">
        <v>971238.31993490004</v>
      </c>
      <c r="CS24" s="13">
        <v>977017.73499489995</v>
      </c>
      <c r="CT24" s="13">
        <v>981747.78168490005</v>
      </c>
      <c r="CU24" s="13">
        <v>984146.9691783</v>
      </c>
      <c r="CV24" s="13">
        <v>990631.66882330005</v>
      </c>
      <c r="CW24" s="13">
        <v>997630.41237230005</v>
      </c>
      <c r="CX24" s="13">
        <v>996259.46374049992</v>
      </c>
      <c r="CY24" s="13">
        <v>992800.87861200003</v>
      </c>
      <c r="CZ24" s="13">
        <v>991623.00965200004</v>
      </c>
      <c r="DA24" s="13">
        <v>993305.58892400004</v>
      </c>
      <c r="DB24" s="13">
        <v>992987.09383399994</v>
      </c>
      <c r="DC24" s="13">
        <v>989541.17938999995</v>
      </c>
      <c r="DD24" s="13">
        <v>986999.95023289998</v>
      </c>
      <c r="DE24" s="13">
        <v>983560.09972070006</v>
      </c>
      <c r="DF24" s="13">
        <v>983011.35080390004</v>
      </c>
      <c r="DG24" s="13">
        <v>982558.18519390002</v>
      </c>
      <c r="DH24" s="13">
        <v>981279.44576489995</v>
      </c>
      <c r="DI24" s="13">
        <v>980731.41463489993</v>
      </c>
      <c r="DJ24" s="13">
        <v>984631.90523489995</v>
      </c>
      <c r="DK24" s="13">
        <v>986819.86069120001</v>
      </c>
      <c r="DL24" s="13">
        <v>988488.45350020006</v>
      </c>
      <c r="DM24" s="13">
        <v>992753.41149520001</v>
      </c>
      <c r="DN24" s="13">
        <v>996259.24881020002</v>
      </c>
      <c r="DO24" s="13">
        <v>1003813.2356502</v>
      </c>
      <c r="DP24" s="13">
        <v>1008902.7663861001</v>
      </c>
      <c r="DQ24" s="13">
        <v>1011188.2845960999</v>
      </c>
      <c r="DR24" s="13">
        <v>1010120.9578890998</v>
      </c>
      <c r="DS24" s="13">
        <v>1009761.0423490999</v>
      </c>
      <c r="DT24" s="13">
        <v>1012865.0558942999</v>
      </c>
      <c r="DU24" s="13">
        <v>1014624.9732663998</v>
      </c>
      <c r="DV24" s="13">
        <v>1012958.2265446999</v>
      </c>
      <c r="DW24" s="13">
        <v>1012263.7236547</v>
      </c>
      <c r="DX24" s="13">
        <v>1010231.7153579999</v>
      </c>
      <c r="DY24" s="13">
        <v>1010308.9247186999</v>
      </c>
      <c r="DZ24" s="13">
        <v>1007740.8831788999</v>
      </c>
      <c r="EA24" s="13">
        <v>1002327.4625908999</v>
      </c>
      <c r="EB24" s="13">
        <v>1000632.2325958</v>
      </c>
      <c r="EC24" s="13">
        <v>1001272.0242957999</v>
      </c>
      <c r="ED24" s="13">
        <v>1005833.8345257998</v>
      </c>
      <c r="EE24" s="13">
        <v>1009576.7659367999</v>
      </c>
      <c r="EF24" s="13">
        <v>1012301.0925567999</v>
      </c>
    </row>
    <row r="25" spans="1:136" x14ac:dyDescent="0.3">
      <c r="A25" s="1" t="s">
        <v>14</v>
      </c>
      <c r="B25" s="13">
        <v>392207.89026270004</v>
      </c>
      <c r="C25" s="13">
        <v>305374.50288420002</v>
      </c>
      <c r="D25" s="13">
        <v>298950.75515499996</v>
      </c>
      <c r="E25" s="13">
        <v>403141.53204690001</v>
      </c>
      <c r="F25" s="13">
        <v>389386.1581763</v>
      </c>
      <c r="G25" s="13">
        <v>326487.09865230002</v>
      </c>
      <c r="H25" s="13">
        <v>488146.60069170006</v>
      </c>
      <c r="I25" s="13">
        <v>293960.56550990004</v>
      </c>
      <c r="J25" s="13">
        <v>336468.20764670003</v>
      </c>
      <c r="K25" s="13">
        <v>507991.10935669998</v>
      </c>
      <c r="L25" s="13">
        <v>342187.53954359994</v>
      </c>
      <c r="M25" s="13">
        <v>277674.68888430001</v>
      </c>
      <c r="N25" s="13">
        <v>567463.57737630012</v>
      </c>
      <c r="O25" s="13">
        <v>191608.99900919999</v>
      </c>
      <c r="P25" s="13">
        <v>179543.7242613</v>
      </c>
      <c r="Q25" s="13">
        <v>169250.82970080001</v>
      </c>
      <c r="R25" s="13">
        <v>170954.208954</v>
      </c>
      <c r="S25" s="13">
        <v>176399.38477500001</v>
      </c>
      <c r="T25" s="13">
        <v>154581.95792699998</v>
      </c>
      <c r="U25" s="13">
        <v>143806.68811179997</v>
      </c>
      <c r="V25" s="13">
        <v>414556.14372519997</v>
      </c>
      <c r="W25" s="13">
        <v>403644.49089490005</v>
      </c>
      <c r="X25" s="13">
        <v>349923.80239209998</v>
      </c>
      <c r="Y25" s="13">
        <v>291025.09375459998</v>
      </c>
      <c r="Z25" s="13">
        <v>264915.94345360005</v>
      </c>
      <c r="AA25" s="13">
        <v>356331.65040100005</v>
      </c>
      <c r="AB25" s="13">
        <v>333496.49527100002</v>
      </c>
      <c r="AC25" s="13">
        <v>347317.38622870005</v>
      </c>
      <c r="AD25" s="13">
        <v>362719.80933620001</v>
      </c>
      <c r="AE25" s="13">
        <v>332114.33876150002</v>
      </c>
      <c r="AF25" s="13">
        <v>331449.34616020002</v>
      </c>
      <c r="AG25" s="13">
        <v>327241.57856640004</v>
      </c>
      <c r="AH25" s="13">
        <v>365155.71864320006</v>
      </c>
      <c r="AI25" s="13">
        <v>356630.08694229997</v>
      </c>
      <c r="AJ25" s="13">
        <v>362316.38997449999</v>
      </c>
      <c r="AK25" s="13">
        <v>371163.90408070001</v>
      </c>
      <c r="AL25" s="13">
        <v>377653.36221950001</v>
      </c>
      <c r="AM25" s="13">
        <v>372236.41535340005</v>
      </c>
      <c r="AN25" s="13">
        <v>347003.8387733</v>
      </c>
      <c r="AO25" s="13">
        <v>365578.06095020002</v>
      </c>
      <c r="AP25" s="13">
        <v>376491.1911308</v>
      </c>
      <c r="AQ25" s="13">
        <v>368814.139012</v>
      </c>
      <c r="AR25" s="13">
        <v>368776.14568710001</v>
      </c>
      <c r="AS25" s="13">
        <v>361501.80517359998</v>
      </c>
      <c r="AT25" s="13">
        <v>340990.84119640006</v>
      </c>
      <c r="AU25" s="13">
        <v>306442.56248959998</v>
      </c>
      <c r="AV25" s="13">
        <v>367023.2779012</v>
      </c>
      <c r="AW25" s="13">
        <v>367045.06588800001</v>
      </c>
      <c r="AX25" s="13">
        <v>377345.25854590005</v>
      </c>
      <c r="AY25" s="13">
        <v>342395.44469670003</v>
      </c>
      <c r="AZ25" s="13">
        <v>340914.0075293</v>
      </c>
      <c r="BA25" s="13">
        <v>337217.88336009998</v>
      </c>
      <c r="BB25" s="13">
        <v>385741.9883503</v>
      </c>
      <c r="BC25" s="13">
        <v>383439.59620119998</v>
      </c>
      <c r="BD25" s="13">
        <v>398079.94623669999</v>
      </c>
      <c r="BE25" s="13">
        <v>406947.50007099996</v>
      </c>
      <c r="BF25" s="13">
        <v>416750.40493509994</v>
      </c>
      <c r="BG25" s="13">
        <v>412724.59305990004</v>
      </c>
      <c r="BH25" s="13">
        <v>412470.41564059997</v>
      </c>
      <c r="BI25" s="13">
        <v>341770.74974130001</v>
      </c>
      <c r="BJ25" s="13">
        <v>334608.43186279997</v>
      </c>
      <c r="BK25" s="13">
        <v>337373.40052029997</v>
      </c>
      <c r="BL25" s="13">
        <v>310869.70257159998</v>
      </c>
      <c r="BM25" s="13">
        <v>351459.03794270003</v>
      </c>
      <c r="BN25" s="13">
        <v>382130.7233448</v>
      </c>
      <c r="BO25" s="13">
        <v>385142.2611764</v>
      </c>
      <c r="BP25" s="13">
        <v>377862.90040839999</v>
      </c>
      <c r="BQ25" s="13">
        <v>380842.89520670002</v>
      </c>
      <c r="BR25" s="13">
        <v>387084.62946730002</v>
      </c>
      <c r="BS25" s="13">
        <v>508332.77369579999</v>
      </c>
      <c r="BT25" s="13">
        <v>521317.89199590002</v>
      </c>
      <c r="BU25" s="13">
        <v>519545.32157999999</v>
      </c>
      <c r="BV25" s="13">
        <v>538491.03930179996</v>
      </c>
      <c r="BW25" s="13">
        <v>572904.33612270001</v>
      </c>
      <c r="BX25" s="13">
        <v>305218.92997320002</v>
      </c>
      <c r="BY25" s="13">
        <v>304370.76382990001</v>
      </c>
      <c r="BZ25" s="13">
        <v>311814.31605620001</v>
      </c>
      <c r="CA25" s="13">
        <v>308328.58962669998</v>
      </c>
      <c r="CB25" s="13">
        <v>333136.34573359997</v>
      </c>
      <c r="CC25" s="13">
        <v>287633.16167629999</v>
      </c>
      <c r="CD25" s="13">
        <v>276268.78990590002</v>
      </c>
      <c r="CE25" s="13">
        <v>257679.32284689997</v>
      </c>
      <c r="CF25" s="13">
        <v>275149.52631379996</v>
      </c>
      <c r="CG25" s="13">
        <v>284215.67378010001</v>
      </c>
      <c r="CH25" s="13">
        <v>523596.91167970002</v>
      </c>
      <c r="CI25" s="13">
        <v>497495.59450900002</v>
      </c>
      <c r="CJ25" s="13">
        <v>426072.27405919996</v>
      </c>
      <c r="CK25" s="13">
        <v>307484.19174709998</v>
      </c>
      <c r="CL25" s="13">
        <v>297608.09414420003</v>
      </c>
      <c r="CM25" s="13">
        <v>397479.10466309998</v>
      </c>
      <c r="CN25" s="13">
        <v>410204.15086930001</v>
      </c>
      <c r="CO25" s="13">
        <v>415707.26102499996</v>
      </c>
      <c r="CP25" s="13">
        <v>703940.70803880005</v>
      </c>
      <c r="CQ25" s="13">
        <v>359017.89747929998</v>
      </c>
      <c r="CR25" s="13">
        <v>396571.28437870002</v>
      </c>
      <c r="CS25" s="13">
        <v>393817.52781879995</v>
      </c>
      <c r="CT25" s="13">
        <v>390674.41131379997</v>
      </c>
      <c r="CU25" s="13">
        <v>247902.28488600001</v>
      </c>
      <c r="CV25" s="13">
        <v>225466.0040815</v>
      </c>
      <c r="CW25" s="13">
        <v>218543.79599479999</v>
      </c>
      <c r="CX25" s="13">
        <v>243040.8426112</v>
      </c>
      <c r="CY25" s="13">
        <v>493900.37623470003</v>
      </c>
      <c r="CZ25" s="13">
        <v>487961.73718930001</v>
      </c>
      <c r="DA25" s="13">
        <v>513129.80536359997</v>
      </c>
      <c r="DB25" s="13">
        <v>487209.50947029993</v>
      </c>
      <c r="DC25" s="13">
        <v>470490.60081740003</v>
      </c>
      <c r="DD25" s="13">
        <v>304991.68696040002</v>
      </c>
      <c r="DE25" s="13">
        <v>305713.74079900002</v>
      </c>
      <c r="DF25" s="13">
        <v>334239.23790200002</v>
      </c>
      <c r="DG25" s="13">
        <v>334507.19518899999</v>
      </c>
      <c r="DH25" s="13">
        <v>341052.70550650003</v>
      </c>
      <c r="DI25" s="13">
        <v>426492.92113809998</v>
      </c>
      <c r="DJ25" s="13">
        <v>422060.33588610002</v>
      </c>
      <c r="DK25" s="13">
        <v>477520.87254519999</v>
      </c>
      <c r="DL25" s="13">
        <v>491020.25329680002</v>
      </c>
      <c r="DM25" s="13">
        <v>370610.08822699997</v>
      </c>
      <c r="DN25" s="13">
        <v>394031.54762229999</v>
      </c>
      <c r="DO25" s="13">
        <v>384203.76984670002</v>
      </c>
      <c r="DP25" s="13">
        <v>342867.87596979999</v>
      </c>
      <c r="DQ25" s="13">
        <v>336411.77825950005</v>
      </c>
      <c r="DR25" s="13">
        <v>264092.49241310003</v>
      </c>
      <c r="DS25" s="13">
        <v>264686.53052720003</v>
      </c>
      <c r="DT25" s="13">
        <v>252273.8897455</v>
      </c>
      <c r="DU25" s="13">
        <v>230069.58828729999</v>
      </c>
      <c r="DV25" s="13">
        <v>165587.5463134</v>
      </c>
      <c r="DW25" s="13">
        <v>374366.91223250004</v>
      </c>
      <c r="DX25" s="13">
        <v>344229.20529590006</v>
      </c>
      <c r="DY25" s="13">
        <v>284569.86601699999</v>
      </c>
      <c r="DZ25" s="13">
        <v>276090.12465259997</v>
      </c>
      <c r="EA25" s="13">
        <v>277456.31182059995</v>
      </c>
      <c r="EB25" s="13">
        <v>626700.38153530005</v>
      </c>
      <c r="EC25" s="13">
        <v>627275.08188609988</v>
      </c>
      <c r="ED25" s="13">
        <v>645620.48560730007</v>
      </c>
      <c r="EE25" s="13">
        <v>651122.50324880006</v>
      </c>
      <c r="EF25" s="13">
        <v>659974.66760980012</v>
      </c>
    </row>
    <row r="26" spans="1:136" x14ac:dyDescent="0.3">
      <c r="A26" s="2" t="s">
        <v>13</v>
      </c>
      <c r="B26" s="13">
        <v>493993.7254317</v>
      </c>
      <c r="C26" s="13">
        <v>502802.28061370004</v>
      </c>
      <c r="D26" s="13">
        <v>483247.08028720005</v>
      </c>
      <c r="E26" s="13">
        <v>464515.20924379997</v>
      </c>
      <c r="F26" s="13">
        <v>434549.61920800002</v>
      </c>
      <c r="G26" s="13">
        <v>440339.05141649995</v>
      </c>
      <c r="H26" s="13">
        <v>454921.29308029998</v>
      </c>
      <c r="I26" s="13">
        <v>462789.00924079999</v>
      </c>
      <c r="J26" s="13">
        <v>496521.53092709999</v>
      </c>
      <c r="K26" s="13">
        <v>458149.54235890001</v>
      </c>
      <c r="L26" s="13">
        <v>462118.49991959997</v>
      </c>
      <c r="M26" s="13">
        <v>463927.57805729995</v>
      </c>
      <c r="N26" s="13">
        <v>518672.48830070003</v>
      </c>
      <c r="O26" s="13">
        <v>455887.11311179999</v>
      </c>
      <c r="P26" s="13">
        <v>451664.42665850004</v>
      </c>
      <c r="Q26" s="13">
        <v>448815.05504750001</v>
      </c>
      <c r="R26" s="13">
        <v>452509.16004109994</v>
      </c>
      <c r="S26" s="13">
        <v>451079.46777740004</v>
      </c>
      <c r="T26" s="13">
        <v>448066.38466540002</v>
      </c>
      <c r="U26" s="13">
        <v>450407.5300115</v>
      </c>
      <c r="V26" s="13">
        <v>453434.7194687</v>
      </c>
      <c r="W26" s="13">
        <v>454495.18586299999</v>
      </c>
      <c r="X26" s="13">
        <v>463377.95475939999</v>
      </c>
      <c r="Y26" s="13">
        <v>463839.4919892</v>
      </c>
      <c r="Z26" s="13">
        <v>460328.2291458</v>
      </c>
      <c r="AA26" s="13">
        <v>456704.583705</v>
      </c>
      <c r="AB26" s="13">
        <v>457245.88868000003</v>
      </c>
      <c r="AC26" s="13">
        <v>459673.11496940005</v>
      </c>
      <c r="AD26" s="13">
        <v>456065.60722020001</v>
      </c>
      <c r="AE26" s="13">
        <v>455832.47584809997</v>
      </c>
      <c r="AF26" s="13">
        <v>455396.4869358</v>
      </c>
      <c r="AG26" s="13">
        <v>458533.65858559997</v>
      </c>
      <c r="AH26" s="13">
        <v>454056.5323131</v>
      </c>
      <c r="AI26" s="13">
        <v>459398.09820270003</v>
      </c>
      <c r="AJ26" s="13">
        <v>457676.769898</v>
      </c>
      <c r="AK26" s="13">
        <v>455777.86847940006</v>
      </c>
      <c r="AL26" s="13">
        <v>455139.19663040002</v>
      </c>
      <c r="AM26" s="13">
        <v>452577.3877507</v>
      </c>
      <c r="AN26" s="13">
        <v>455298.48593530001</v>
      </c>
      <c r="AO26" s="13">
        <v>462265.92327219999</v>
      </c>
      <c r="AP26" s="13">
        <v>469366.72135740001</v>
      </c>
      <c r="AQ26" s="13">
        <v>475672.49726309994</v>
      </c>
      <c r="AR26" s="13">
        <v>472581.13777229999</v>
      </c>
      <c r="AS26" s="13">
        <v>463803.01439809997</v>
      </c>
      <c r="AT26" s="13">
        <v>459966.08291519998</v>
      </c>
      <c r="AU26" s="13">
        <v>466430.5620339</v>
      </c>
      <c r="AV26" s="13">
        <v>462754.77961169998</v>
      </c>
      <c r="AW26" s="13">
        <v>461398.30623150006</v>
      </c>
      <c r="AX26" s="13">
        <v>460092.45183219999</v>
      </c>
      <c r="AY26" s="13">
        <v>463065.80882179999</v>
      </c>
      <c r="AZ26" s="13">
        <v>467139.67648809997</v>
      </c>
      <c r="BA26" s="13">
        <v>484801.27444959997</v>
      </c>
      <c r="BB26" s="13">
        <v>468094.84199229995</v>
      </c>
      <c r="BC26" s="13">
        <v>467510.58183829999</v>
      </c>
      <c r="BD26" s="13">
        <v>469536.72001980001</v>
      </c>
      <c r="BE26" s="13">
        <v>471170.87768550002</v>
      </c>
      <c r="BF26" s="13">
        <v>469408.56026279996</v>
      </c>
      <c r="BG26" s="13">
        <v>470654.94955820002</v>
      </c>
      <c r="BH26" s="13">
        <v>482119.2188717</v>
      </c>
      <c r="BI26" s="13">
        <v>476518.69749520003</v>
      </c>
      <c r="BJ26" s="13">
        <v>472172.27307150001</v>
      </c>
      <c r="BK26" s="13">
        <v>477389.46596679999</v>
      </c>
      <c r="BL26" s="13">
        <v>470643.39680529997</v>
      </c>
      <c r="BM26" s="13">
        <v>474666.9658448</v>
      </c>
      <c r="BN26" s="13">
        <v>480518.70647190005</v>
      </c>
      <c r="BO26" s="13">
        <v>478760.67458340002</v>
      </c>
      <c r="BP26" s="13">
        <v>477194.01828559994</v>
      </c>
      <c r="BQ26" s="13">
        <v>474458.82607490005</v>
      </c>
      <c r="BR26" s="13">
        <v>477716.88985750003</v>
      </c>
      <c r="BS26" s="13">
        <v>473716.38379599998</v>
      </c>
      <c r="BT26" s="13">
        <v>482646.23617430002</v>
      </c>
      <c r="BU26" s="13">
        <v>505128.97237109992</v>
      </c>
      <c r="BV26" s="13">
        <v>529333.78227900004</v>
      </c>
      <c r="BW26" s="13">
        <v>494086.93161019997</v>
      </c>
      <c r="BX26" s="13">
        <v>496236.18470309995</v>
      </c>
      <c r="BY26" s="13">
        <v>494009.23926200002</v>
      </c>
      <c r="BZ26" s="13">
        <v>493863.21233200002</v>
      </c>
      <c r="CA26" s="13">
        <v>490616.34048179997</v>
      </c>
      <c r="CB26" s="13">
        <v>484486.14552820002</v>
      </c>
      <c r="CC26" s="13">
        <v>486433.23094430001</v>
      </c>
      <c r="CD26" s="13">
        <v>479690.17855009995</v>
      </c>
      <c r="CE26" s="13">
        <v>482070.10124829999</v>
      </c>
      <c r="CF26" s="13">
        <v>486079.63548479998</v>
      </c>
      <c r="CG26" s="13">
        <v>479974.35985160002</v>
      </c>
      <c r="CH26" s="13">
        <v>477087.66457379999</v>
      </c>
      <c r="CI26" s="13">
        <v>497737.35519770003</v>
      </c>
      <c r="CJ26" s="13">
        <v>507061.60257849999</v>
      </c>
      <c r="CK26" s="13">
        <v>506293.5519129</v>
      </c>
      <c r="CL26" s="13">
        <v>497218.04157200002</v>
      </c>
      <c r="CM26" s="13">
        <v>484972.79448000004</v>
      </c>
      <c r="CN26" s="13">
        <v>487363.3444989</v>
      </c>
      <c r="CO26" s="13">
        <v>481237.35464309994</v>
      </c>
      <c r="CP26" s="13">
        <v>487487.97780269996</v>
      </c>
      <c r="CQ26" s="13">
        <v>499512.71992090007</v>
      </c>
      <c r="CR26" s="13">
        <v>484412.25091850001</v>
      </c>
      <c r="CS26" s="13">
        <v>482520.85652999999</v>
      </c>
      <c r="CT26" s="13">
        <v>477349.66356279998</v>
      </c>
      <c r="CU26" s="13">
        <v>481204.16194700002</v>
      </c>
      <c r="CV26" s="13">
        <v>482541.79478659999</v>
      </c>
      <c r="CW26" s="13">
        <v>481943.02962829999</v>
      </c>
      <c r="CX26" s="13">
        <v>490809.00814420002</v>
      </c>
      <c r="CY26" s="13">
        <v>491314.81033390004</v>
      </c>
      <c r="CZ26" s="13">
        <v>490559.60303</v>
      </c>
      <c r="DA26" s="13">
        <v>486447.26593940001</v>
      </c>
      <c r="DB26" s="13">
        <v>486474.21451740002</v>
      </c>
      <c r="DC26" s="13">
        <v>482881.02543340006</v>
      </c>
      <c r="DD26" s="13">
        <v>484147.98607490002</v>
      </c>
      <c r="DE26" s="13">
        <v>478549.80342879996</v>
      </c>
      <c r="DF26" s="13">
        <v>487198.17623919999</v>
      </c>
      <c r="DG26" s="13">
        <v>493989.9475827</v>
      </c>
      <c r="DH26" s="13">
        <v>481849.14204419998</v>
      </c>
      <c r="DI26" s="13">
        <v>484182.60596290004</v>
      </c>
      <c r="DJ26" s="13">
        <v>514340.59549809998</v>
      </c>
      <c r="DK26" s="13">
        <v>487141.00261840003</v>
      </c>
      <c r="DL26" s="13">
        <v>480748.7633315</v>
      </c>
      <c r="DM26" s="13">
        <v>491299.92212030001</v>
      </c>
      <c r="DN26" s="13">
        <v>483484.37037190003</v>
      </c>
      <c r="DO26" s="13">
        <v>478555.79011490004</v>
      </c>
      <c r="DP26" s="13">
        <v>475600.27158860001</v>
      </c>
      <c r="DQ26" s="13">
        <v>482908.23110739997</v>
      </c>
      <c r="DR26" s="13">
        <v>495541.38181349996</v>
      </c>
      <c r="DS26" s="13">
        <v>496475.47150039999</v>
      </c>
      <c r="DT26" s="13">
        <v>497048.41977839998</v>
      </c>
      <c r="DU26" s="13">
        <v>500779.56975670002</v>
      </c>
      <c r="DV26" s="13">
        <v>498736.3941723</v>
      </c>
      <c r="DW26" s="13">
        <v>501352.60620580002</v>
      </c>
      <c r="DX26" s="13">
        <v>504641.61345240002</v>
      </c>
      <c r="DY26" s="13">
        <v>509396.25751109998</v>
      </c>
      <c r="DZ26" s="13">
        <v>521086.76260770002</v>
      </c>
      <c r="EA26" s="13">
        <v>516503.2624218</v>
      </c>
      <c r="EB26" s="13">
        <v>510575.63720709999</v>
      </c>
      <c r="EC26" s="13">
        <v>511358.63982649997</v>
      </c>
      <c r="ED26" s="13">
        <v>513200.50683510001</v>
      </c>
      <c r="EE26" s="13">
        <v>509690.61561669997</v>
      </c>
      <c r="EF26" s="13">
        <v>506757.0815572</v>
      </c>
    </row>
    <row r="27" spans="1:136" x14ac:dyDescent="0.3">
      <c r="A27" s="5" t="s">
        <v>32</v>
      </c>
      <c r="B27" s="13"/>
      <c r="C27" s="13"/>
      <c r="D27" s="13"/>
      <c r="E27" s="13"/>
      <c r="F27" s="13"/>
      <c r="G27" s="13"/>
      <c r="H27" s="13"/>
      <c r="I27" s="13"/>
      <c r="J27" s="13"/>
      <c r="K27" s="13">
        <v>1.1020768000000001</v>
      </c>
      <c r="L27" s="13">
        <v>1.1020768000000001</v>
      </c>
      <c r="M27" s="13">
        <v>1.1688523</v>
      </c>
      <c r="N27" s="13">
        <v>0.82594699999999999</v>
      </c>
      <c r="O27" s="13">
        <v>0.80475490000000005</v>
      </c>
      <c r="P27" s="13">
        <v>0.78107030000000011</v>
      </c>
      <c r="Q27" s="13">
        <v>0.7183273</v>
      </c>
      <c r="R27" s="13">
        <v>0.71516619999999997</v>
      </c>
      <c r="S27" s="13">
        <v>1.2886388</v>
      </c>
      <c r="T27" s="13">
        <v>1.2867976000000001</v>
      </c>
      <c r="U27" s="13">
        <v>1.2804626000000001</v>
      </c>
      <c r="V27" s="13">
        <v>1.2152285</v>
      </c>
      <c r="W27" s="13">
        <v>1.2142261000000001</v>
      </c>
      <c r="X27" s="13">
        <v>1.2142261000000001</v>
      </c>
      <c r="Y27" s="13">
        <v>1.2108396000000001</v>
      </c>
      <c r="Z27" s="13">
        <v>1.2990318999999999</v>
      </c>
      <c r="AA27" s="13">
        <v>1.2990318999999999</v>
      </c>
      <c r="AB27" s="13">
        <v>1.2990318999999999</v>
      </c>
      <c r="AC27" s="13">
        <v>1.2990318999999999</v>
      </c>
      <c r="AD27" s="13">
        <v>1.2990318999999999</v>
      </c>
      <c r="AE27" s="13">
        <v>1.2990318999999999</v>
      </c>
      <c r="AF27" s="13">
        <v>1.2990318999999999</v>
      </c>
      <c r="AG27" s="13">
        <v>1.2990318999999999</v>
      </c>
      <c r="AH27" s="13">
        <v>1.2934928999999999</v>
      </c>
      <c r="AI27" s="13">
        <v>1.2876183000000001</v>
      </c>
      <c r="AJ27" s="13">
        <v>1.2876183000000001</v>
      </c>
      <c r="AK27" s="13">
        <v>1.2876183000000001</v>
      </c>
      <c r="AL27" s="13">
        <v>1.2793298</v>
      </c>
      <c r="AM27" s="13">
        <v>1.2793298</v>
      </c>
      <c r="AN27" s="13">
        <v>1.2777507000000001</v>
      </c>
      <c r="AO27" s="13">
        <v>1.2777507000000001</v>
      </c>
      <c r="AP27" s="13">
        <v>1.2777507000000001</v>
      </c>
      <c r="AQ27" s="13">
        <v>1.2777507000000001</v>
      </c>
      <c r="AR27" s="13">
        <v>1.2777507000000001</v>
      </c>
      <c r="AS27" s="13">
        <v>1.2516696999999999</v>
      </c>
      <c r="AT27" s="13">
        <v>1.2516696999999999</v>
      </c>
      <c r="AU27" s="13">
        <v>1.2399334</v>
      </c>
      <c r="AV27" s="13">
        <v>1.2399334</v>
      </c>
      <c r="AW27" s="13">
        <v>1.2399334</v>
      </c>
      <c r="AX27" s="13">
        <v>1.2399334</v>
      </c>
      <c r="AY27" s="13">
        <v>1.2399334</v>
      </c>
      <c r="AZ27" s="13">
        <v>1.2573939999999999</v>
      </c>
      <c r="BA27" s="13">
        <v>1.2573939999999999</v>
      </c>
      <c r="BB27" s="13">
        <v>1.2573939999999999</v>
      </c>
      <c r="BC27" s="13">
        <v>1.2573939999999999</v>
      </c>
      <c r="BD27" s="13">
        <v>1.2534277999999999</v>
      </c>
      <c r="BE27" s="13">
        <v>1.2519902000000001</v>
      </c>
      <c r="BF27" s="13">
        <v>1.2519902000000001</v>
      </c>
      <c r="BG27" s="13">
        <v>1.2519902000000001</v>
      </c>
      <c r="BH27" s="13">
        <v>1.2519902000000001</v>
      </c>
      <c r="BI27" s="13">
        <v>1.2519902000000001</v>
      </c>
      <c r="BJ27" s="13">
        <v>1.2519902000000001</v>
      </c>
      <c r="BK27" s="13">
        <v>1.2519902000000001</v>
      </c>
      <c r="BL27" s="13">
        <v>1.2494923000000002</v>
      </c>
      <c r="BM27" s="13">
        <v>1.2494923000000002</v>
      </c>
      <c r="BN27" s="13">
        <v>1.2494923000000002</v>
      </c>
      <c r="BO27" s="13">
        <v>1.2494923000000002</v>
      </c>
      <c r="BP27" s="13">
        <v>1.3378939999999999</v>
      </c>
      <c r="BQ27" s="13">
        <v>1.3333358999999998</v>
      </c>
      <c r="BR27" s="13">
        <v>1.3311651000000002</v>
      </c>
      <c r="BS27" s="13">
        <v>1.3095909999999999</v>
      </c>
      <c r="BT27" s="13">
        <v>1.3095909999999999</v>
      </c>
      <c r="BU27" s="13">
        <v>1.3095909999999999</v>
      </c>
      <c r="BV27" s="13">
        <v>1.3095909999999999</v>
      </c>
      <c r="BW27" s="13">
        <v>1.3095909999999999</v>
      </c>
      <c r="BX27" s="13">
        <v>1.3095909999999999</v>
      </c>
      <c r="BY27" s="13">
        <v>1.3095909999999999</v>
      </c>
      <c r="BZ27" s="13">
        <v>1.3095909999999999</v>
      </c>
      <c r="CA27" s="13">
        <v>1.3095909999999999</v>
      </c>
      <c r="CB27" s="13">
        <v>1.3095909999999999</v>
      </c>
      <c r="CC27" s="13">
        <v>1.3095909999999999</v>
      </c>
      <c r="CD27" s="13">
        <v>1.3095909999999999</v>
      </c>
      <c r="CE27" s="13">
        <v>1.3014028</v>
      </c>
      <c r="CF27" s="13">
        <v>1.3014028</v>
      </c>
      <c r="CG27" s="13">
        <v>1.3014028</v>
      </c>
      <c r="CH27" s="13">
        <v>1.2969932</v>
      </c>
      <c r="CI27" s="13">
        <v>1.2969932</v>
      </c>
      <c r="CJ27" s="13">
        <v>1.2959798</v>
      </c>
      <c r="CK27" s="13">
        <v>1.2792208</v>
      </c>
      <c r="CL27" s="13">
        <v>1.2792208</v>
      </c>
      <c r="CM27" s="13">
        <v>1.2792208</v>
      </c>
      <c r="CN27" s="13">
        <v>1.2737813</v>
      </c>
      <c r="CO27" s="13">
        <v>1.2737813</v>
      </c>
      <c r="CP27" s="13">
        <v>1.2737813</v>
      </c>
      <c r="CQ27" s="13">
        <v>1.2737813</v>
      </c>
      <c r="CR27" s="13">
        <v>1.2737813</v>
      </c>
      <c r="CS27" s="13">
        <v>1.2737813</v>
      </c>
      <c r="CT27" s="13">
        <v>1.2737813</v>
      </c>
      <c r="CU27" s="13">
        <v>1.2737813</v>
      </c>
      <c r="CV27" s="13">
        <v>1.2737813</v>
      </c>
      <c r="CW27" s="13">
        <v>1.2737813</v>
      </c>
      <c r="CX27" s="13">
        <v>1.2737813</v>
      </c>
      <c r="CY27" s="13">
        <v>1.2723493000000001</v>
      </c>
      <c r="CZ27" s="13">
        <v>1.2706999999999999</v>
      </c>
      <c r="DA27" s="13">
        <v>1.2706999999999999</v>
      </c>
      <c r="DB27" s="13">
        <v>1.2591498999999999</v>
      </c>
      <c r="DC27" s="13">
        <v>1.2590726000000001</v>
      </c>
      <c r="DD27" s="13">
        <v>1.2555621000000001</v>
      </c>
      <c r="DE27" s="13">
        <v>1.2555621000000001</v>
      </c>
      <c r="DF27" s="13">
        <v>1.2555621000000001</v>
      </c>
      <c r="DG27" s="13">
        <v>1.2431724999999998</v>
      </c>
      <c r="DH27" s="13">
        <v>1.2391928000000001</v>
      </c>
      <c r="DI27" s="13">
        <v>1.2391928000000001</v>
      </c>
      <c r="DJ27" s="13">
        <v>1.2391928000000001</v>
      </c>
      <c r="DK27" s="13">
        <v>1.2391928000000001</v>
      </c>
      <c r="DL27" s="13">
        <v>1.2391928000000001</v>
      </c>
      <c r="DM27" s="13">
        <v>1.2349731000000002</v>
      </c>
      <c r="DN27" s="13">
        <v>1.2349731000000002</v>
      </c>
      <c r="DO27" s="13">
        <v>1.3329371999999999</v>
      </c>
      <c r="DP27" s="13">
        <v>1.3217147</v>
      </c>
      <c r="DQ27" s="13">
        <v>1.3206947</v>
      </c>
      <c r="DR27" s="13">
        <v>1.3164094</v>
      </c>
      <c r="DS27" s="13">
        <v>1.3116877</v>
      </c>
      <c r="DT27" s="13">
        <v>1.3116877</v>
      </c>
      <c r="DU27" s="13">
        <v>1.3116877</v>
      </c>
      <c r="DV27" s="13">
        <v>1.3116877</v>
      </c>
      <c r="DW27" s="13">
        <v>1.3116877</v>
      </c>
      <c r="DX27" s="13">
        <v>1.3116877</v>
      </c>
      <c r="DY27" s="13">
        <v>1.3041334999999998</v>
      </c>
      <c r="DZ27" s="13">
        <v>1.2926046000000002</v>
      </c>
      <c r="EA27" s="13">
        <v>1.2926046000000002</v>
      </c>
      <c r="EB27" s="13">
        <v>1.2926046000000002</v>
      </c>
      <c r="EC27" s="13">
        <v>1.2926046000000002</v>
      </c>
      <c r="ED27" s="13">
        <v>1.2926046000000002</v>
      </c>
      <c r="EE27" s="13">
        <v>1.2926046000000002</v>
      </c>
      <c r="EF27" s="13">
        <v>1.2926046000000002</v>
      </c>
    </row>
    <row r="28" spans="1:136" x14ac:dyDescent="0.3">
      <c r="A28" s="2" t="s">
        <v>33</v>
      </c>
      <c r="B28" s="13"/>
      <c r="C28" s="13"/>
      <c r="D28" s="13"/>
      <c r="E28" s="13"/>
      <c r="F28" s="13"/>
      <c r="G28" s="13"/>
      <c r="H28" s="13"/>
      <c r="I28" s="13"/>
      <c r="J28" s="13"/>
      <c r="K28" s="13">
        <v>143.92885219999999</v>
      </c>
      <c r="L28" s="13">
        <v>142.936914</v>
      </c>
      <c r="M28" s="13">
        <v>362.38806749999998</v>
      </c>
      <c r="N28" s="13">
        <v>1387.2403399</v>
      </c>
      <c r="O28" s="13">
        <v>1384.6695708</v>
      </c>
      <c r="P28" s="13">
        <v>1387.6500745999999</v>
      </c>
      <c r="Q28" s="13">
        <v>1384.0576549000002</v>
      </c>
      <c r="R28" s="13">
        <v>428.33317139999997</v>
      </c>
      <c r="S28" s="13">
        <v>428.38414060000002</v>
      </c>
      <c r="T28" s="13">
        <v>427.66806259999998</v>
      </c>
      <c r="U28" s="13">
        <v>432.74476560000005</v>
      </c>
      <c r="V28" s="13">
        <v>314.24148700000001</v>
      </c>
      <c r="W28" s="13">
        <v>314.00349260000002</v>
      </c>
      <c r="X28" s="13">
        <v>514.30517050000003</v>
      </c>
      <c r="Y28" s="13">
        <v>514.09790910000004</v>
      </c>
      <c r="Z28" s="13">
        <v>514.8200574</v>
      </c>
      <c r="AA28" s="13">
        <v>515.78315120000002</v>
      </c>
      <c r="AB28" s="13">
        <v>515.51861539999993</v>
      </c>
      <c r="AC28" s="13">
        <v>516.50338120000004</v>
      </c>
      <c r="AD28" s="13">
        <v>715.09523310000009</v>
      </c>
      <c r="AE28" s="13">
        <v>713.79658100000006</v>
      </c>
      <c r="AF28" s="13">
        <v>713.12632370000006</v>
      </c>
      <c r="AG28" s="13">
        <v>711.84407580000004</v>
      </c>
      <c r="AH28" s="13">
        <v>709.76646200000005</v>
      </c>
      <c r="AI28" s="13">
        <v>710.23607370000002</v>
      </c>
      <c r="AJ28" s="13">
        <v>710.99746470000002</v>
      </c>
      <c r="AK28" s="13">
        <v>710.82031840000002</v>
      </c>
      <c r="AL28" s="13">
        <v>710.91545539999993</v>
      </c>
      <c r="AM28" s="13">
        <v>446.81464549999998</v>
      </c>
      <c r="AN28" s="13">
        <v>446.92077430000001</v>
      </c>
      <c r="AO28" s="13">
        <v>447.41280819999997</v>
      </c>
      <c r="AP28" s="13">
        <v>447.66203480000001</v>
      </c>
      <c r="AQ28" s="13">
        <v>448.10484309999998</v>
      </c>
      <c r="AR28" s="13">
        <v>448.10267920000001</v>
      </c>
      <c r="AS28" s="13">
        <v>447.80432589999998</v>
      </c>
      <c r="AT28" s="13">
        <v>446.98703839999996</v>
      </c>
      <c r="AU28" s="13">
        <v>446.76176609999999</v>
      </c>
      <c r="AV28" s="13">
        <v>445.87501199999997</v>
      </c>
      <c r="AW28" s="13">
        <v>445.43717780000003</v>
      </c>
      <c r="AX28" s="13">
        <v>445.08681839999997</v>
      </c>
      <c r="AY28" s="13">
        <v>445.23952910000003</v>
      </c>
      <c r="AZ28" s="13">
        <v>444.76619030000001</v>
      </c>
      <c r="BA28" s="13">
        <v>444.24213760000004</v>
      </c>
      <c r="BB28" s="13">
        <v>444.85826400000002</v>
      </c>
      <c r="BC28" s="13">
        <v>445.50719370000002</v>
      </c>
      <c r="BD28" s="13">
        <v>447.24068390000002</v>
      </c>
      <c r="BE28" s="13">
        <v>448.20599529999998</v>
      </c>
      <c r="BF28" s="13">
        <v>448.66592610000004</v>
      </c>
      <c r="BG28" s="13">
        <v>448.87759730000005</v>
      </c>
      <c r="BH28" s="13">
        <v>448.3919942</v>
      </c>
      <c r="BI28" s="13">
        <v>158.7967065</v>
      </c>
      <c r="BJ28" s="13">
        <v>158.3776771</v>
      </c>
      <c r="BK28" s="13">
        <v>158.12951889999999</v>
      </c>
      <c r="BL28" s="13">
        <v>158.5192739</v>
      </c>
      <c r="BM28" s="13">
        <v>158.44096569999999</v>
      </c>
      <c r="BN28" s="13">
        <v>158.19798309999999</v>
      </c>
      <c r="BO28" s="13">
        <v>158.16617969999999</v>
      </c>
      <c r="BP28" s="13">
        <v>158.24787030000002</v>
      </c>
      <c r="BQ28" s="13">
        <v>158.0422379</v>
      </c>
      <c r="BR28" s="13">
        <v>157.87681080000002</v>
      </c>
      <c r="BS28" s="13">
        <v>157.7803026</v>
      </c>
      <c r="BT28" s="13">
        <v>157.7741388</v>
      </c>
      <c r="BU28" s="13">
        <v>157.61232369999999</v>
      </c>
      <c r="BV28" s="13">
        <v>157.79188619999996</v>
      </c>
      <c r="BW28" s="13">
        <v>157.4896091</v>
      </c>
      <c r="BX28" s="13">
        <v>157.53269899999998</v>
      </c>
      <c r="BY28" s="13">
        <v>158.82113219999999</v>
      </c>
      <c r="BZ28" s="13">
        <v>158.60922349999998</v>
      </c>
      <c r="CA28" s="13">
        <v>158.19617000000002</v>
      </c>
      <c r="CB28" s="13">
        <v>158.0160625</v>
      </c>
      <c r="CC28" s="13">
        <v>158.82276759999999</v>
      </c>
      <c r="CD28" s="13">
        <v>158.77985130000002</v>
      </c>
      <c r="CE28" s="13">
        <v>160.0220185</v>
      </c>
      <c r="CF28" s="13">
        <v>160.30581609999999</v>
      </c>
      <c r="CG28" s="13">
        <v>160.01130259999999</v>
      </c>
      <c r="CH28" s="13">
        <v>160.31742990000001</v>
      </c>
      <c r="CI28" s="13">
        <v>160.18900230000003</v>
      </c>
      <c r="CJ28" s="13">
        <v>160.27760880000002</v>
      </c>
      <c r="CK28" s="13">
        <v>160.85184290000001</v>
      </c>
      <c r="CL28" s="13">
        <v>160.51589290000001</v>
      </c>
      <c r="CM28" s="13">
        <v>159.81158819999999</v>
      </c>
      <c r="CN28" s="13">
        <v>159.91481099999999</v>
      </c>
      <c r="CO28" s="13">
        <v>159.5450668</v>
      </c>
      <c r="CP28" s="13">
        <v>159.7341395</v>
      </c>
      <c r="CQ28" s="13">
        <v>159.87018940000002</v>
      </c>
      <c r="CR28" s="13">
        <v>159.43690090000001</v>
      </c>
      <c r="CS28" s="13">
        <v>159.60711240000001</v>
      </c>
      <c r="CT28" s="13">
        <v>159.5112263</v>
      </c>
      <c r="CU28" s="13">
        <v>159.63625920000001</v>
      </c>
      <c r="CV28" s="13">
        <v>159.18105389999999</v>
      </c>
      <c r="CW28" s="13">
        <v>158.12039089999999</v>
      </c>
      <c r="CX28" s="13">
        <v>157.958687</v>
      </c>
      <c r="CY28" s="13">
        <v>158.51277299999998</v>
      </c>
      <c r="CZ28" s="13">
        <v>157.9350044</v>
      </c>
      <c r="DA28" s="13">
        <v>157.6709491</v>
      </c>
      <c r="DB28" s="13">
        <v>158.00761359999998</v>
      </c>
      <c r="DC28" s="13">
        <v>157.29830230000002</v>
      </c>
      <c r="DD28" s="13">
        <v>157.83909709999998</v>
      </c>
      <c r="DE28" s="13">
        <v>157.40794310000001</v>
      </c>
      <c r="DF28" s="13">
        <v>157.3771189</v>
      </c>
      <c r="DG28" s="13">
        <v>157.7068491</v>
      </c>
      <c r="DH28" s="13">
        <v>157.60469789999999</v>
      </c>
      <c r="DI28" s="13">
        <v>157.33234909999999</v>
      </c>
      <c r="DJ28" s="13">
        <v>144.71357919999997</v>
      </c>
      <c r="DK28" s="13">
        <v>145.03917809999999</v>
      </c>
      <c r="DL28" s="13">
        <v>144.95984899999999</v>
      </c>
      <c r="DM28" s="13">
        <v>144.90296980000002</v>
      </c>
      <c r="DN28" s="13">
        <v>144.89132219999999</v>
      </c>
      <c r="DO28" s="13">
        <v>144.88306709999998</v>
      </c>
      <c r="DP28" s="13">
        <v>144.75984500000001</v>
      </c>
      <c r="DQ28" s="13">
        <v>144.97416469999999</v>
      </c>
      <c r="DR28" s="13">
        <v>144.90872540000001</v>
      </c>
      <c r="DS28" s="13">
        <v>164.716757</v>
      </c>
      <c r="DT28" s="13">
        <v>164.2885278</v>
      </c>
      <c r="DU28" s="13">
        <v>164.8477006</v>
      </c>
      <c r="DV28" s="13">
        <v>165.04259299999998</v>
      </c>
      <c r="DW28" s="13">
        <v>164.83380840000001</v>
      </c>
      <c r="DX28" s="13">
        <v>164.89758939999999</v>
      </c>
      <c r="DY28" s="13">
        <v>165.4766429</v>
      </c>
      <c r="DZ28" s="13">
        <v>165.43824030000002</v>
      </c>
      <c r="EA28" s="13">
        <v>165.77973990000001</v>
      </c>
      <c r="EB28" s="13">
        <v>165.6563329</v>
      </c>
      <c r="EC28" s="13">
        <v>165.92015309999999</v>
      </c>
      <c r="ED28" s="13">
        <v>165.6600851</v>
      </c>
      <c r="EE28" s="13">
        <v>165.7707781</v>
      </c>
      <c r="EF28" s="13">
        <v>166.46998190000002</v>
      </c>
    </row>
    <row r="29" spans="1:136" x14ac:dyDescent="0.3">
      <c r="A29" s="1" t="s">
        <v>6</v>
      </c>
      <c r="B29" s="13">
        <v>47966.948261700221</v>
      </c>
      <c r="C29" s="13">
        <v>19698.203578300017</v>
      </c>
      <c r="D29" s="13">
        <v>21770.781455199991</v>
      </c>
      <c r="E29" s="13">
        <v>18537.654393000237</v>
      </c>
      <c r="F29" s="13">
        <v>17200.077851099893</v>
      </c>
      <c r="G29" s="13">
        <v>18157.680459000287</v>
      </c>
      <c r="H29" s="13">
        <v>18611.375308899966</v>
      </c>
      <c r="I29" s="13">
        <v>20158.536351400078</v>
      </c>
      <c r="J29" s="13">
        <v>21492.268535700103</v>
      </c>
      <c r="K29" s="13">
        <v>18079.464525799791</v>
      </c>
      <c r="L29" s="13">
        <v>18854.333858899688</v>
      </c>
      <c r="M29" s="13">
        <v>13469.393187100244</v>
      </c>
      <c r="N29" s="13">
        <v>26006.442704300069</v>
      </c>
      <c r="O29" s="13">
        <v>12212.647376899862</v>
      </c>
      <c r="P29" s="13">
        <v>12208.486420800016</v>
      </c>
      <c r="Q29" s="13">
        <v>12146.959315300099</v>
      </c>
      <c r="R29" s="13">
        <v>13311.350364399977</v>
      </c>
      <c r="S29" s="13">
        <v>9909.9313555999142</v>
      </c>
      <c r="T29" s="13">
        <v>12883.152823800046</v>
      </c>
      <c r="U29" s="13">
        <v>10508.005922800177</v>
      </c>
      <c r="V29" s="13">
        <v>12194.697728900455</v>
      </c>
      <c r="W29" s="13">
        <v>12075.585582699805</v>
      </c>
      <c r="X29" s="13">
        <v>12471.590570199965</v>
      </c>
      <c r="Y29" s="13">
        <v>13759.256054199897</v>
      </c>
      <c r="Z29" s="13">
        <v>13914.176606199982</v>
      </c>
      <c r="AA29" s="13">
        <v>13911.976960199703</v>
      </c>
      <c r="AB29" s="13">
        <v>33313.683041399774</v>
      </c>
      <c r="AC29" s="13">
        <v>33318.268572800065</v>
      </c>
      <c r="AD29" s="13">
        <v>11797.224435599879</v>
      </c>
      <c r="AE29" s="13">
        <v>12704.367105100053</v>
      </c>
      <c r="AF29" s="13">
        <v>15720.301852300143</v>
      </c>
      <c r="AG29" s="13">
        <v>12418.331079900019</v>
      </c>
      <c r="AH29" s="13">
        <v>12801.299468399902</v>
      </c>
      <c r="AI29" s="13">
        <v>12327.651875499827</v>
      </c>
      <c r="AJ29" s="13">
        <v>11655.084544499836</v>
      </c>
      <c r="AK29" s="13">
        <v>11799.651520600068</v>
      </c>
      <c r="AL29" s="13">
        <v>12719.597190699949</v>
      </c>
      <c r="AM29" s="13">
        <v>9243.2979003000928</v>
      </c>
      <c r="AN29" s="13">
        <v>10507.108788900267</v>
      </c>
      <c r="AO29" s="13">
        <v>10648.426807999969</v>
      </c>
      <c r="AP29" s="13">
        <v>12793.404317400127</v>
      </c>
      <c r="AQ29" s="13">
        <v>8969.9959971998705</v>
      </c>
      <c r="AR29" s="13">
        <v>15760.938205899749</v>
      </c>
      <c r="AS29" s="13">
        <v>11312.139723899956</v>
      </c>
      <c r="AT29" s="13">
        <v>11730.022164999906</v>
      </c>
      <c r="AU29" s="13">
        <v>13259.483909800201</v>
      </c>
      <c r="AV29" s="13">
        <v>14410.283072399714</v>
      </c>
      <c r="AW29" s="13">
        <v>15015.815225099968</v>
      </c>
      <c r="AX29" s="13">
        <v>12139.865459099899</v>
      </c>
      <c r="AY29" s="13">
        <v>12496.660054100292</v>
      </c>
      <c r="AZ29" s="13">
        <v>14116.393397700052</v>
      </c>
      <c r="BA29" s="13">
        <v>11805.390796000122</v>
      </c>
      <c r="BB29" s="13">
        <v>12762.932721399988</v>
      </c>
      <c r="BC29" s="13">
        <v>12087.679883900291</v>
      </c>
      <c r="BD29" s="13">
        <v>15151.737931200112</v>
      </c>
      <c r="BE29" s="13">
        <v>12580.777199100052</v>
      </c>
      <c r="BF29" s="13">
        <v>12107.007184500057</v>
      </c>
      <c r="BG29" s="13">
        <v>10414.603391999968</v>
      </c>
      <c r="BH29" s="13">
        <v>10301.465201900135</v>
      </c>
      <c r="BI29" s="13">
        <v>12373.177310700372</v>
      </c>
      <c r="BJ29" s="13">
        <v>10583.672231100009</v>
      </c>
      <c r="BK29" s="13">
        <v>12453.64068370001</v>
      </c>
      <c r="BL29" s="13">
        <v>11525.225976200305</v>
      </c>
      <c r="BM29" s="13">
        <v>10797.269661700002</v>
      </c>
      <c r="BN29" s="13">
        <v>43479.898049599666</v>
      </c>
      <c r="BO29" s="13">
        <v>12759.677061399711</v>
      </c>
      <c r="BP29" s="13">
        <v>15189.417221699978</v>
      </c>
      <c r="BQ29" s="13">
        <v>12741.11013790005</v>
      </c>
      <c r="BR29" s="13">
        <v>11669.044300799698</v>
      </c>
      <c r="BS29" s="13">
        <v>23358.148493000102</v>
      </c>
      <c r="BT29" s="13">
        <v>12310.427917200095</v>
      </c>
      <c r="BU29" s="13">
        <v>11945.399144099805</v>
      </c>
      <c r="BV29" s="13">
        <v>12440.346261700082</v>
      </c>
      <c r="BW29" s="13">
        <v>12762.463893099699</v>
      </c>
      <c r="BX29" s="13">
        <v>13244.096929999943</v>
      </c>
      <c r="BY29" s="13">
        <v>13775.352507700252</v>
      </c>
      <c r="BZ29" s="13">
        <v>13144.618295099974</v>
      </c>
      <c r="CA29" s="13">
        <v>13272.092541199972</v>
      </c>
      <c r="CB29" s="13">
        <v>12972.168976500263</v>
      </c>
      <c r="CC29" s="13">
        <v>15074.995963300091</v>
      </c>
      <c r="CD29" s="13">
        <v>12894.334627399949</v>
      </c>
      <c r="CE29" s="13">
        <v>12120.356544699735</v>
      </c>
      <c r="CF29" s="13">
        <v>12174.565389300053</v>
      </c>
      <c r="CG29" s="13">
        <v>14787.334279200055</v>
      </c>
      <c r="CH29" s="13">
        <v>14026.803441299788</v>
      </c>
      <c r="CI29" s="13">
        <v>16014.574577000109</v>
      </c>
      <c r="CJ29" s="13">
        <v>13743.781331399898</v>
      </c>
      <c r="CK29" s="13">
        <v>16636.990398399779</v>
      </c>
      <c r="CL29" s="13">
        <v>15294.17725990006</v>
      </c>
      <c r="CM29" s="13">
        <v>18523.506684600103</v>
      </c>
      <c r="CN29" s="13">
        <v>18719.426693399957</v>
      </c>
      <c r="CO29" s="13">
        <v>18700.476447399556</v>
      </c>
      <c r="CP29" s="13">
        <v>13384.370243800638</v>
      </c>
      <c r="CQ29" s="13">
        <v>14451.757045999906</v>
      </c>
      <c r="CR29" s="13">
        <v>13679.693134899693</v>
      </c>
      <c r="CS29" s="13">
        <v>14342.624756599835</v>
      </c>
      <c r="CT29" s="13">
        <v>14976.603580099854</v>
      </c>
      <c r="CU29" s="13">
        <v>13052.013114899912</v>
      </c>
      <c r="CV29" s="13">
        <v>13076.958794300253</v>
      </c>
      <c r="CW29" s="13">
        <v>11719.677278099874</v>
      </c>
      <c r="CX29" s="13">
        <v>11470.566138800499</v>
      </c>
      <c r="CY29" s="13">
        <v>11765.170626999901</v>
      </c>
      <c r="CZ29" s="13">
        <v>13093.883540600273</v>
      </c>
      <c r="DA29" s="13">
        <v>11611.667609799932</v>
      </c>
      <c r="DB29" s="13">
        <v>14943.089613800341</v>
      </c>
      <c r="DC29" s="13">
        <v>17469.343777600065</v>
      </c>
      <c r="DD29" s="13">
        <v>17497.467170099724</v>
      </c>
      <c r="DE29" s="13">
        <v>18516.010514300149</v>
      </c>
      <c r="DF29" s="13">
        <v>16920.991493900121</v>
      </c>
      <c r="DG29" s="13">
        <v>15393.917719200079</v>
      </c>
      <c r="DH29" s="13">
        <v>27040.693040200011</v>
      </c>
      <c r="DI29" s="13">
        <v>16456.70966819987</v>
      </c>
      <c r="DJ29" s="13">
        <v>15913.92650920041</v>
      </c>
      <c r="DK29" s="13">
        <v>16062.227000099978</v>
      </c>
      <c r="DL29" s="13">
        <v>17162.261439599963</v>
      </c>
      <c r="DM29" s="13">
        <v>17173.204951300351</v>
      </c>
      <c r="DN29" s="13">
        <v>15231.474295000049</v>
      </c>
      <c r="DO29" s="13">
        <v>15820.055401100301</v>
      </c>
      <c r="DP29" s="13">
        <v>15809.444176499634</v>
      </c>
      <c r="DQ29" s="13">
        <v>14908.989429700034</v>
      </c>
      <c r="DR29" s="13">
        <v>13476.219740099868</v>
      </c>
      <c r="DS29" s="13">
        <v>14645.531071500156</v>
      </c>
      <c r="DT29" s="13">
        <v>14488.843019200071</v>
      </c>
      <c r="DU29" s="13">
        <v>14913.276480400327</v>
      </c>
      <c r="DV29" s="13">
        <v>15051.881116299634</v>
      </c>
      <c r="DW29" s="13">
        <v>14675.737044999854</v>
      </c>
      <c r="DX29" s="13">
        <v>12390.124551600009</v>
      </c>
      <c r="DY29" s="13">
        <v>13253.931212100204</v>
      </c>
      <c r="DZ29" s="13">
        <v>13622.478963299842</v>
      </c>
      <c r="EA29" s="13">
        <v>14262.367868000225</v>
      </c>
      <c r="EB29" s="13">
        <v>22436.468592000267</v>
      </c>
      <c r="EC29" s="13">
        <v>12862.739344400128</v>
      </c>
      <c r="ED29" s="13">
        <v>12262.288355900386</v>
      </c>
      <c r="EE29" s="13">
        <v>13088.227085400167</v>
      </c>
      <c r="EF29" s="13">
        <v>16406.766742599983</v>
      </c>
    </row>
    <row r="30" spans="1:136" x14ac:dyDescent="0.3">
      <c r="A30" s="5" t="s">
        <v>7</v>
      </c>
      <c r="B30" s="13">
        <v>45984.854159299997</v>
      </c>
      <c r="C30" s="13">
        <v>16460.127254500003</v>
      </c>
      <c r="D30" s="13">
        <v>18882.044943599998</v>
      </c>
      <c r="E30" s="13">
        <v>14840.554750899999</v>
      </c>
      <c r="F30" s="13">
        <v>14412.725601599999</v>
      </c>
      <c r="G30" s="13">
        <v>15208.810871400001</v>
      </c>
      <c r="H30" s="13">
        <v>15775.263899500002</v>
      </c>
      <c r="I30" s="13">
        <v>16865.764892799998</v>
      </c>
      <c r="J30" s="13">
        <v>16951.532343300001</v>
      </c>
      <c r="K30" s="13">
        <v>13348.417133399998</v>
      </c>
      <c r="L30" s="13">
        <v>14343.5603558</v>
      </c>
      <c r="M30" s="13">
        <v>9905.134274500002</v>
      </c>
      <c r="N30" s="13">
        <v>23044.776054099999</v>
      </c>
      <c r="O30" s="13">
        <v>8474.6759899999997</v>
      </c>
      <c r="P30" s="13">
        <v>8503.0598346000006</v>
      </c>
      <c r="Q30" s="13">
        <v>8986.3606973999995</v>
      </c>
      <c r="R30" s="13">
        <v>9398.9384918999986</v>
      </c>
      <c r="S30" s="13">
        <v>6362.3532041000008</v>
      </c>
      <c r="T30" s="13">
        <v>6585.6636005</v>
      </c>
      <c r="U30" s="13">
        <v>6681.8132211999991</v>
      </c>
      <c r="V30" s="13">
        <v>8349.8941529999993</v>
      </c>
      <c r="W30" s="13">
        <v>8387.3958567000009</v>
      </c>
      <c r="X30" s="13">
        <v>8445.8869831000011</v>
      </c>
      <c r="Y30" s="13">
        <v>10367.820546899999</v>
      </c>
      <c r="Z30" s="13">
        <v>10183.5763446</v>
      </c>
      <c r="AA30" s="13">
        <v>10147.490241500002</v>
      </c>
      <c r="AB30" s="13">
        <v>29431.050768399997</v>
      </c>
      <c r="AC30" s="13">
        <v>29427.382034199996</v>
      </c>
      <c r="AD30" s="13">
        <v>8323.4144801000002</v>
      </c>
      <c r="AE30" s="13">
        <v>8442.0291973999992</v>
      </c>
      <c r="AF30" s="13">
        <v>8151.310113999999</v>
      </c>
      <c r="AG30" s="13">
        <v>8271.0043012999995</v>
      </c>
      <c r="AH30" s="13">
        <v>8512.1420793999987</v>
      </c>
      <c r="AI30" s="13">
        <v>8855.8349147999998</v>
      </c>
      <c r="AJ30" s="13">
        <v>7950.2020008</v>
      </c>
      <c r="AK30" s="13">
        <v>8052.9137848999999</v>
      </c>
      <c r="AL30" s="13">
        <v>8068.8463656000004</v>
      </c>
      <c r="AM30" s="13">
        <v>5699.3612529999991</v>
      </c>
      <c r="AN30" s="13">
        <v>6133.0974717999998</v>
      </c>
      <c r="AO30" s="13">
        <v>6261.4630039999993</v>
      </c>
      <c r="AP30" s="13">
        <v>6250.4232988000003</v>
      </c>
      <c r="AQ30" s="13">
        <v>5607.7414080999997</v>
      </c>
      <c r="AR30" s="13">
        <v>7584.2812804999994</v>
      </c>
      <c r="AS30" s="13">
        <v>7589.2591434000005</v>
      </c>
      <c r="AT30" s="13">
        <v>7585.0860545999994</v>
      </c>
      <c r="AU30" s="13">
        <v>9543.7373159999988</v>
      </c>
      <c r="AV30" s="13">
        <v>9574.5249404000006</v>
      </c>
      <c r="AW30" s="13">
        <v>9421.2560973</v>
      </c>
      <c r="AX30" s="13">
        <v>8287.5057968000001</v>
      </c>
      <c r="AY30" s="13">
        <v>8314.0011887000001</v>
      </c>
      <c r="AZ30" s="13">
        <v>7323.5431704000002</v>
      </c>
      <c r="BA30" s="13">
        <v>7366.5934606999999</v>
      </c>
      <c r="BB30" s="13">
        <v>6751.0489466999998</v>
      </c>
      <c r="BC30" s="13">
        <v>7597.2689037</v>
      </c>
      <c r="BD30" s="13">
        <v>8352.2207622999995</v>
      </c>
      <c r="BE30" s="13">
        <v>7051.9215892999991</v>
      </c>
      <c r="BF30" s="13">
        <v>7059.0685351000002</v>
      </c>
      <c r="BG30" s="13">
        <v>6074.443016700001</v>
      </c>
      <c r="BH30" s="13">
        <v>5925.0688894999994</v>
      </c>
      <c r="BI30" s="13">
        <v>7706.8259144000003</v>
      </c>
      <c r="BJ30" s="13">
        <v>5929.5957507000003</v>
      </c>
      <c r="BK30" s="13">
        <v>5919.0815504000002</v>
      </c>
      <c r="BL30" s="13">
        <v>6493.4266011999998</v>
      </c>
      <c r="BM30" s="13">
        <v>6446.7246860999994</v>
      </c>
      <c r="BN30" s="13">
        <v>39065.580480299999</v>
      </c>
      <c r="BO30" s="13">
        <v>8566.0795734999992</v>
      </c>
      <c r="BP30" s="13">
        <v>10690.807890999999</v>
      </c>
      <c r="BQ30" s="13">
        <v>8302.7822563999998</v>
      </c>
      <c r="BR30" s="13">
        <v>7368.4918543999993</v>
      </c>
      <c r="BS30" s="13">
        <v>19019.063320600002</v>
      </c>
      <c r="BT30" s="13">
        <v>7282.6671882000001</v>
      </c>
      <c r="BU30" s="13">
        <v>7053.4258780000009</v>
      </c>
      <c r="BV30" s="13">
        <v>7580.5837215000001</v>
      </c>
      <c r="BW30" s="13">
        <v>7953.2092460000003</v>
      </c>
      <c r="BX30" s="13">
        <v>8197.414056399999</v>
      </c>
      <c r="BY30" s="13">
        <v>8242.6629424999992</v>
      </c>
      <c r="BZ30" s="13">
        <v>8298.5329768000011</v>
      </c>
      <c r="CA30" s="13">
        <v>7794.2576090000002</v>
      </c>
      <c r="CB30" s="13">
        <v>7749.6316130999994</v>
      </c>
      <c r="CC30" s="13">
        <v>9707.9016248000007</v>
      </c>
      <c r="CD30" s="13">
        <v>7595.2492256999994</v>
      </c>
      <c r="CE30" s="13">
        <v>7410.723911</v>
      </c>
      <c r="CF30" s="13">
        <v>7053.1861263999999</v>
      </c>
      <c r="CG30" s="13">
        <v>8897.9319539999997</v>
      </c>
      <c r="CH30" s="13">
        <v>9014.6450186000002</v>
      </c>
      <c r="CI30" s="13">
        <v>8766.8789916999995</v>
      </c>
      <c r="CJ30" s="13">
        <v>8806.4495905999993</v>
      </c>
      <c r="CK30" s="13">
        <v>11588.378121399999</v>
      </c>
      <c r="CL30" s="13">
        <v>10244.8795336</v>
      </c>
      <c r="CM30" s="13">
        <v>12812.287444700001</v>
      </c>
      <c r="CN30" s="13">
        <v>13832.588069599999</v>
      </c>
      <c r="CO30" s="13">
        <v>13046.012983299999</v>
      </c>
      <c r="CP30" s="13">
        <v>8399.9970140999994</v>
      </c>
      <c r="CQ30" s="13">
        <v>8394.5207559999999</v>
      </c>
      <c r="CR30" s="13">
        <v>8619.5070770000002</v>
      </c>
      <c r="CS30" s="13">
        <v>9246.3314317999993</v>
      </c>
      <c r="CT30" s="13">
        <v>9228.5208786000003</v>
      </c>
      <c r="CU30" s="13">
        <v>7700.9361207000002</v>
      </c>
      <c r="CV30" s="13">
        <v>7731.9129387000003</v>
      </c>
      <c r="CW30" s="13">
        <v>6477.3736560000007</v>
      </c>
      <c r="CX30" s="13">
        <v>6487.9517209000005</v>
      </c>
      <c r="CY30" s="13">
        <v>6525.7317473000003</v>
      </c>
      <c r="CZ30" s="13">
        <v>7943.113402</v>
      </c>
      <c r="DA30" s="13">
        <v>7129.6722487000006</v>
      </c>
      <c r="DB30" s="13">
        <v>10117.127580099999</v>
      </c>
      <c r="DC30" s="13">
        <v>12160.0723239</v>
      </c>
      <c r="DD30" s="13">
        <v>12110.617006999999</v>
      </c>
      <c r="DE30" s="13">
        <v>12069.964178099999</v>
      </c>
      <c r="DF30" s="13">
        <v>12094.600928899999</v>
      </c>
      <c r="DG30" s="13">
        <v>10575.8953735</v>
      </c>
      <c r="DH30" s="13">
        <v>22501.366685000001</v>
      </c>
      <c r="DI30" s="13">
        <v>11163.725088199999</v>
      </c>
      <c r="DJ30" s="13">
        <v>10690.726970899999</v>
      </c>
      <c r="DK30" s="13">
        <v>9729.3272879999986</v>
      </c>
      <c r="DL30" s="13">
        <v>10746.6656872</v>
      </c>
      <c r="DM30" s="13">
        <v>10148.705650700002</v>
      </c>
      <c r="DN30" s="13">
        <v>10107.394361499999</v>
      </c>
      <c r="DO30" s="13">
        <v>10645.331926500001</v>
      </c>
      <c r="DP30" s="13">
        <v>10626.887335800002</v>
      </c>
      <c r="DQ30" s="13">
        <v>9305.5720870999994</v>
      </c>
      <c r="DR30" s="13">
        <v>8936.9670987999998</v>
      </c>
      <c r="DS30" s="13">
        <v>8976.4569009999996</v>
      </c>
      <c r="DT30" s="13">
        <v>8963.1522156999999</v>
      </c>
      <c r="DU30" s="13">
        <v>9433.7234906000012</v>
      </c>
      <c r="DV30" s="13">
        <v>9426.0347088999988</v>
      </c>
      <c r="DW30" s="13">
        <v>9416.4949903999986</v>
      </c>
      <c r="DX30" s="13">
        <v>7199.5792480000009</v>
      </c>
      <c r="DY30" s="13">
        <v>8565.1545623000002</v>
      </c>
      <c r="DZ30" s="13">
        <v>8935.3159117999985</v>
      </c>
      <c r="EA30" s="13">
        <v>9389.9035977000021</v>
      </c>
      <c r="EB30" s="13">
        <v>16678.709068799999</v>
      </c>
      <c r="EC30" s="13">
        <v>7676.6993895000005</v>
      </c>
      <c r="ED30" s="13">
        <v>6964.7654340999998</v>
      </c>
      <c r="EE30" s="13">
        <v>6921.0854238000011</v>
      </c>
      <c r="EF30" s="13">
        <v>8618.185958600001</v>
      </c>
    </row>
    <row r="31" spans="1:136" ht="17.25" customHeight="1" x14ac:dyDescent="0.3">
      <c r="A31" s="2" t="s">
        <v>8</v>
      </c>
      <c r="B31" s="13">
        <v>1982.0941024000001</v>
      </c>
      <c r="C31" s="13">
        <v>3238.0763238000004</v>
      </c>
      <c r="D31" s="13">
        <v>2888.7365115999996</v>
      </c>
      <c r="E31" s="13">
        <v>3697.0996421</v>
      </c>
      <c r="F31" s="13">
        <v>2787.3522494999997</v>
      </c>
      <c r="G31" s="13">
        <v>2948.8695875999997</v>
      </c>
      <c r="H31" s="13">
        <v>2836.1114094000004</v>
      </c>
      <c r="I31" s="13">
        <v>3292.7714586000002</v>
      </c>
      <c r="J31" s="13">
        <v>4540.7361923999997</v>
      </c>
      <c r="K31" s="13">
        <v>4731.0473923999989</v>
      </c>
      <c r="L31" s="13">
        <v>4510.7735031000002</v>
      </c>
      <c r="M31" s="13">
        <v>3564.2589125999998</v>
      </c>
      <c r="N31" s="13">
        <v>2961.6666501999998</v>
      </c>
      <c r="O31" s="13">
        <v>3737.9713869000002</v>
      </c>
      <c r="P31" s="13">
        <v>3705.4265861999997</v>
      </c>
      <c r="Q31" s="13">
        <v>3160.5986179000001</v>
      </c>
      <c r="R31" s="13">
        <v>3912.4118724999998</v>
      </c>
      <c r="S31" s="13">
        <v>3547.5781515000003</v>
      </c>
      <c r="T31" s="13">
        <v>6297.489223300001</v>
      </c>
      <c r="U31" s="13">
        <v>3826.1927016</v>
      </c>
      <c r="V31" s="13">
        <v>3844.8035758999999</v>
      </c>
      <c r="W31" s="13">
        <v>3688.1897259999996</v>
      </c>
      <c r="X31" s="13">
        <v>4025.7035871000003</v>
      </c>
      <c r="Y31" s="13">
        <v>3391.4355073000002</v>
      </c>
      <c r="Z31" s="13">
        <v>3730.6002616000001</v>
      </c>
      <c r="AA31" s="13">
        <v>3764.4867186999995</v>
      </c>
      <c r="AB31" s="13">
        <v>3882.6322730000002</v>
      </c>
      <c r="AC31" s="13">
        <v>3890.8865386000002</v>
      </c>
      <c r="AD31" s="13">
        <v>3473.8099555000003</v>
      </c>
      <c r="AE31" s="13">
        <v>4262.3379076999991</v>
      </c>
      <c r="AF31" s="13">
        <v>7568.9917383000002</v>
      </c>
      <c r="AG31" s="13">
        <v>4147.3267785999997</v>
      </c>
      <c r="AH31" s="13">
        <v>4289.1573890000009</v>
      </c>
      <c r="AI31" s="13">
        <v>3471.8169606999995</v>
      </c>
      <c r="AJ31" s="13">
        <v>3704.8825436999996</v>
      </c>
      <c r="AK31" s="13">
        <v>3746.7377356999996</v>
      </c>
      <c r="AL31" s="13">
        <v>4650.7508250999999</v>
      </c>
      <c r="AM31" s="13">
        <v>3543.9366473000005</v>
      </c>
      <c r="AN31" s="13">
        <v>4374.0113171000003</v>
      </c>
      <c r="AO31" s="13">
        <v>4386.963804</v>
      </c>
      <c r="AP31" s="13">
        <v>6542.9810186000004</v>
      </c>
      <c r="AQ31" s="13">
        <v>3362.2545891</v>
      </c>
      <c r="AR31" s="13">
        <v>8176.6569253999996</v>
      </c>
      <c r="AS31" s="13">
        <v>3722.8805805000002</v>
      </c>
      <c r="AT31" s="13">
        <v>4144.9361104</v>
      </c>
      <c r="AU31" s="13">
        <v>3715.7465938000005</v>
      </c>
      <c r="AV31" s="13">
        <v>4835.7581319999999</v>
      </c>
      <c r="AW31" s="13">
        <v>5594.5591278000002</v>
      </c>
      <c r="AX31" s="13">
        <v>3852.3596622999999</v>
      </c>
      <c r="AY31" s="13">
        <v>4182.6588653999997</v>
      </c>
      <c r="AZ31" s="13">
        <v>6792.8502273000004</v>
      </c>
      <c r="BA31" s="13">
        <v>4438.7973353000007</v>
      </c>
      <c r="BB31" s="13">
        <v>6011.8837746999998</v>
      </c>
      <c r="BC31" s="13">
        <v>4490.4109802000003</v>
      </c>
      <c r="BD31" s="13">
        <v>6799.5171688999999</v>
      </c>
      <c r="BE31" s="13">
        <v>5528.8556097999999</v>
      </c>
      <c r="BF31" s="13">
        <v>5047.9386493999991</v>
      </c>
      <c r="BG31" s="13">
        <v>4340.1603753000009</v>
      </c>
      <c r="BH31" s="13">
        <v>4376.3963123999993</v>
      </c>
      <c r="BI31" s="13">
        <v>4666.3513963000005</v>
      </c>
      <c r="BJ31" s="13">
        <v>4654.0764804</v>
      </c>
      <c r="BK31" s="13">
        <v>4654.0764804</v>
      </c>
      <c r="BL31" s="13">
        <v>5031.7993749999996</v>
      </c>
      <c r="BM31" s="13">
        <v>4350.5449756000007</v>
      </c>
      <c r="BN31" s="13">
        <v>4414.3175693000003</v>
      </c>
      <c r="BO31" s="13">
        <v>4193.5974879000005</v>
      </c>
      <c r="BP31" s="13">
        <v>4498.6093307000001</v>
      </c>
      <c r="BQ31" s="13">
        <v>4438.3278815000003</v>
      </c>
      <c r="BR31" s="13">
        <v>4300.5524464</v>
      </c>
      <c r="BS31" s="13">
        <v>4339.0851723999995</v>
      </c>
      <c r="BT31" s="13">
        <v>5027.7607290000005</v>
      </c>
      <c r="BU31" s="13">
        <v>4891.9732661000007</v>
      </c>
      <c r="BV31" s="13">
        <v>4859.7625401999994</v>
      </c>
      <c r="BW31" s="13">
        <v>4809.2546471000005</v>
      </c>
      <c r="BX31" s="13">
        <v>5046.6828736000007</v>
      </c>
      <c r="BY31" s="13">
        <v>5532.6895652000003</v>
      </c>
      <c r="BZ31" s="13">
        <v>4846.0853183000008</v>
      </c>
      <c r="CA31" s="13">
        <v>5477.8349321999995</v>
      </c>
      <c r="CB31" s="13">
        <v>5222.5373633999989</v>
      </c>
      <c r="CC31" s="13">
        <v>5367.0943385</v>
      </c>
      <c r="CD31" s="13">
        <v>5299.0854016999992</v>
      </c>
      <c r="CE31" s="13">
        <v>4709.6326337</v>
      </c>
      <c r="CF31" s="13">
        <v>5121.3792629</v>
      </c>
      <c r="CG31" s="13">
        <v>5889.4023251999997</v>
      </c>
      <c r="CH31" s="13">
        <v>5012.1584227000003</v>
      </c>
      <c r="CI31" s="13">
        <v>7247.6955852999999</v>
      </c>
      <c r="CJ31" s="13">
        <v>4937.3317407999994</v>
      </c>
      <c r="CK31" s="13">
        <v>5048.6122770000002</v>
      </c>
      <c r="CL31" s="13">
        <v>5049.2977263000002</v>
      </c>
      <c r="CM31" s="13">
        <v>5711.2192398999996</v>
      </c>
      <c r="CN31" s="13">
        <v>4886.8386238000003</v>
      </c>
      <c r="CO31" s="13">
        <v>5654.4634641000002</v>
      </c>
      <c r="CP31" s="13">
        <v>4984.3732296999997</v>
      </c>
      <c r="CQ31" s="13">
        <v>6057.2362899999998</v>
      </c>
      <c r="CR31" s="13">
        <v>5060.1860578999995</v>
      </c>
      <c r="CS31" s="13">
        <v>5096.2933248000008</v>
      </c>
      <c r="CT31" s="13">
        <v>5748.0827015000004</v>
      </c>
      <c r="CU31" s="13">
        <v>5351.0769941999997</v>
      </c>
      <c r="CV31" s="13">
        <v>5345.0458556000003</v>
      </c>
      <c r="CW31" s="13">
        <v>5242.3036221000002</v>
      </c>
      <c r="CX31" s="13">
        <v>4982.6144178999994</v>
      </c>
      <c r="CY31" s="13">
        <v>5239.4388796999992</v>
      </c>
      <c r="CZ31" s="13">
        <v>5150.7701385999999</v>
      </c>
      <c r="DA31" s="13">
        <v>4481.9953611000001</v>
      </c>
      <c r="DB31" s="13">
        <v>4825.9620336999997</v>
      </c>
      <c r="DC31" s="13">
        <v>5309.2714536999993</v>
      </c>
      <c r="DD31" s="13">
        <v>5386.8501631000008</v>
      </c>
      <c r="DE31" s="13">
        <v>6446.0463362</v>
      </c>
      <c r="DF31" s="13">
        <v>4826.3905650000006</v>
      </c>
      <c r="DG31" s="13">
        <v>4818.0223456999993</v>
      </c>
      <c r="DH31" s="13">
        <v>4539.3263551999999</v>
      </c>
      <c r="DI31" s="13">
        <v>5292.9845800000003</v>
      </c>
      <c r="DJ31" s="13">
        <v>5223.1995383000003</v>
      </c>
      <c r="DK31" s="13">
        <v>6332.8997121000002</v>
      </c>
      <c r="DL31" s="13">
        <v>6415.5957523999996</v>
      </c>
      <c r="DM31" s="13">
        <v>7024.4993006000004</v>
      </c>
      <c r="DN31" s="13">
        <v>5124.0799335000002</v>
      </c>
      <c r="DO31" s="13">
        <v>5174.7234746000004</v>
      </c>
      <c r="DP31" s="13">
        <v>5182.5568406999992</v>
      </c>
      <c r="DQ31" s="13">
        <v>5603.4173425999998</v>
      </c>
      <c r="DR31" s="13">
        <v>4539.2526413000005</v>
      </c>
      <c r="DS31" s="13">
        <v>5669.0741705</v>
      </c>
      <c r="DT31" s="13">
        <v>5525.6908035000006</v>
      </c>
      <c r="DU31" s="13">
        <v>5479.5529898000004</v>
      </c>
      <c r="DV31" s="13">
        <v>5625.8464074000003</v>
      </c>
      <c r="DW31" s="13">
        <v>5259.2420546000003</v>
      </c>
      <c r="DX31" s="13">
        <v>5190.5453035999999</v>
      </c>
      <c r="DY31" s="13">
        <v>4688.7766498000001</v>
      </c>
      <c r="DZ31" s="13">
        <v>4687.1630514999997</v>
      </c>
      <c r="EA31" s="13">
        <v>4872.4642703</v>
      </c>
      <c r="EB31" s="13">
        <v>5757.7595231999994</v>
      </c>
      <c r="EC31" s="13">
        <v>5186.0399548999994</v>
      </c>
      <c r="ED31" s="13">
        <v>5297.5229218000004</v>
      </c>
      <c r="EE31" s="13">
        <v>6167.1416616000006</v>
      </c>
      <c r="EF31" s="13">
        <v>7788.5807839999998</v>
      </c>
    </row>
    <row r="32" spans="1:136" x14ac:dyDescent="0.3">
      <c r="A32" s="2"/>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row>
    <row r="33" spans="1:136" x14ac:dyDescent="0.3">
      <c r="A33" s="6" t="s">
        <v>15</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row>
    <row r="34" spans="1:136" x14ac:dyDescent="0.3">
      <c r="A34" s="2"/>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row>
    <row r="35" spans="1:136" x14ac:dyDescent="0.3">
      <c r="A35" s="1" t="s">
        <v>26</v>
      </c>
      <c r="B35" s="14"/>
      <c r="C35" s="14">
        <f t="shared" ref="C35:C44" si="0">C7-B7</f>
        <v>-10609.381967150373</v>
      </c>
      <c r="D35" s="14">
        <f t="shared" ref="D35:EF35" si="1">D7-C7</f>
        <v>-76669.83926140063</v>
      </c>
      <c r="E35" s="14">
        <f t="shared" si="1"/>
        <v>-59132.168596570031</v>
      </c>
      <c r="F35" s="14">
        <f t="shared" si="1"/>
        <v>-68088.845587800606</v>
      </c>
      <c r="G35" s="14">
        <f t="shared" si="1"/>
        <v>23621.800770379486</v>
      </c>
      <c r="H35" s="14">
        <f t="shared" si="1"/>
        <v>57952.736077179434</v>
      </c>
      <c r="I35" s="14">
        <f t="shared" si="1"/>
        <v>26505.822750116349</v>
      </c>
      <c r="J35" s="14">
        <f t="shared" si="1"/>
        <v>70609.894399606506</v>
      </c>
      <c r="K35" s="14">
        <f t="shared" si="1"/>
        <v>-18415.784050421789</v>
      </c>
      <c r="L35" s="14">
        <f t="shared" si="1"/>
        <v>10726.737633609679</v>
      </c>
      <c r="M35" s="14">
        <f t="shared" si="1"/>
        <v>9754.9821047419682</v>
      </c>
      <c r="N35" s="14">
        <f t="shared" si="1"/>
        <v>55575.500780262984</v>
      </c>
      <c r="O35" s="14">
        <f t="shared" si="1"/>
        <v>-64310.379838045221</v>
      </c>
      <c r="P35" s="14">
        <f t="shared" si="1"/>
        <v>-3632.3750580498017</v>
      </c>
      <c r="Q35" s="14">
        <f t="shared" si="1"/>
        <v>-6381.2508932778146</v>
      </c>
      <c r="R35" s="14">
        <f t="shared" si="1"/>
        <v>5599.4872471331619</v>
      </c>
      <c r="S35" s="14">
        <f t="shared" si="1"/>
        <v>-1005.4668299441691</v>
      </c>
      <c r="T35" s="14">
        <f t="shared" si="1"/>
        <v>-1169.0186849546153</v>
      </c>
      <c r="U35" s="14">
        <f t="shared" si="1"/>
        <v>1982.8786594690755</v>
      </c>
      <c r="V35" s="14">
        <f t="shared" si="1"/>
        <v>-4144.260514209047</v>
      </c>
      <c r="W35" s="14">
        <f t="shared" si="1"/>
        <v>1066.3712268860545</v>
      </c>
      <c r="X35" s="14">
        <f t="shared" si="1"/>
        <v>3262.8915349186864</v>
      </c>
      <c r="Y35" s="14">
        <f t="shared" si="1"/>
        <v>-11540.335960638942</v>
      </c>
      <c r="Z35" s="14">
        <f t="shared" si="1"/>
        <v>-27163.883809280116</v>
      </c>
      <c r="AA35" s="14">
        <f t="shared" si="1"/>
        <v>-1743.6367103750817</v>
      </c>
      <c r="AB35" s="14">
        <f t="shared" si="1"/>
        <v>-627.81172332575079</v>
      </c>
      <c r="AC35" s="14">
        <f t="shared" si="1"/>
        <v>1893.021974183619</v>
      </c>
      <c r="AD35" s="14">
        <f t="shared" si="1"/>
        <v>-5256.6742498944513</v>
      </c>
      <c r="AE35" s="14">
        <f t="shared" si="1"/>
        <v>-13687.897736138548</v>
      </c>
      <c r="AF35" s="14">
        <f t="shared" si="1"/>
        <v>2610.3248528440017</v>
      </c>
      <c r="AG35" s="14">
        <f t="shared" ref="AG35:AG44" si="2">AG7-N7</f>
        <v>-126011.80195244623</v>
      </c>
      <c r="AH35" s="14">
        <f t="shared" si="1"/>
        <v>-10841.918432671227</v>
      </c>
      <c r="AI35" s="14">
        <f t="shared" si="1"/>
        <v>5656.4574956140714</v>
      </c>
      <c r="AJ35" s="14">
        <f t="shared" si="1"/>
        <v>519.28322340257</v>
      </c>
      <c r="AK35" s="14">
        <f t="shared" si="1"/>
        <v>22095.731226406526</v>
      </c>
      <c r="AL35" s="14">
        <f t="shared" si="1"/>
        <v>1808.1318843283225</v>
      </c>
      <c r="AM35" s="14">
        <f t="shared" si="1"/>
        <v>-4678.6624474907294</v>
      </c>
      <c r="AN35" s="14">
        <f t="shared" si="1"/>
        <v>7361.191866712179</v>
      </c>
      <c r="AO35" s="14">
        <f t="shared" si="1"/>
        <v>9050.7094574974617</v>
      </c>
      <c r="AP35" s="14">
        <f t="shared" si="1"/>
        <v>10757.607047656435</v>
      </c>
      <c r="AQ35" s="14">
        <f t="shared" si="1"/>
        <v>-7339.0219950611936</v>
      </c>
      <c r="AR35" s="14">
        <f t="shared" si="1"/>
        <v>-4362.9051971435547</v>
      </c>
      <c r="AS35" s="14">
        <f t="shared" si="1"/>
        <v>-37705.681494973251</v>
      </c>
      <c r="AT35" s="14">
        <f t="shared" si="1"/>
        <v>-4106.7694914852036</v>
      </c>
      <c r="AU35" s="14">
        <f t="shared" si="1"/>
        <v>-8223.6473603066988</v>
      </c>
      <c r="AV35" s="14">
        <f t="shared" si="1"/>
        <v>-2663.3605789552676</v>
      </c>
      <c r="AW35" s="14">
        <f t="shared" si="1"/>
        <v>-1293.388391853543</v>
      </c>
      <c r="AX35" s="14">
        <f t="shared" si="1"/>
        <v>81.546365575515665</v>
      </c>
      <c r="AY35" s="14">
        <f t="shared" si="1"/>
        <v>3408.0639036699431</v>
      </c>
      <c r="AZ35" s="14">
        <f t="shared" si="1"/>
        <v>5837.493981567095</v>
      </c>
      <c r="BA35" s="14">
        <f t="shared" ref="BA35:BA44" si="3">BA7-AG7</f>
        <v>121.67550834442955</v>
      </c>
      <c r="BB35" s="14">
        <f t="shared" si="1"/>
        <v>-16114.218189526815</v>
      </c>
      <c r="BC35" s="14">
        <f t="shared" si="1"/>
        <v>-848.90675363258924</v>
      </c>
      <c r="BD35" s="14">
        <f t="shared" si="1"/>
        <v>6728.6885256834794</v>
      </c>
      <c r="BE35" s="14">
        <f t="shared" si="1"/>
        <v>460.96044330333825</v>
      </c>
      <c r="BF35" s="14">
        <f t="shared" si="1"/>
        <v>-1129.9027629460907</v>
      </c>
      <c r="BG35" s="14">
        <f t="shared" si="1"/>
        <v>-4031.9987743449165</v>
      </c>
      <c r="BH35" s="14">
        <f t="shared" si="1"/>
        <v>10838.987186981481</v>
      </c>
      <c r="BI35" s="14">
        <f t="shared" si="1"/>
        <v>147665.57799110736</v>
      </c>
      <c r="BJ35" s="14">
        <f t="shared" si="1"/>
        <v>-6601.3455486891326</v>
      </c>
      <c r="BK35" s="14">
        <f t="shared" si="1"/>
        <v>16608.082345909672</v>
      </c>
      <c r="BL35" s="14">
        <f t="shared" si="1"/>
        <v>-11274.112953600707</v>
      </c>
      <c r="BM35" s="14">
        <f t="shared" si="1"/>
        <v>640.22972223022953</v>
      </c>
      <c r="BN35" s="14">
        <f t="shared" si="1"/>
        <v>17545.415577752516</v>
      </c>
      <c r="BO35" s="14">
        <f t="shared" si="1"/>
        <v>6545.6979377495591</v>
      </c>
      <c r="BP35" s="14">
        <f t="shared" si="1"/>
        <v>-2288.5157518836204</v>
      </c>
      <c r="BQ35" s="14">
        <f t="shared" si="1"/>
        <v>-3632.6508467933163</v>
      </c>
      <c r="BR35" s="14">
        <f t="shared" si="1"/>
        <v>1380.2053757298272</v>
      </c>
      <c r="BS35" s="14">
        <f t="shared" si="1"/>
        <v>-14672.579685470322</v>
      </c>
      <c r="BT35" s="14">
        <f t="shared" si="1"/>
        <v>10606.969196420396</v>
      </c>
      <c r="BU35" s="14">
        <f t="shared" si="1"/>
        <v>19803.874682355905</v>
      </c>
      <c r="BV35" s="14">
        <f t="shared" ref="BV35:BV44" si="4">BV7-BA7</f>
        <v>204651.99233226501</v>
      </c>
      <c r="BW35" s="14">
        <f t="shared" si="1"/>
        <v>-43920.159847388742</v>
      </c>
      <c r="BX35" s="14">
        <f t="shared" si="1"/>
        <v>1494.7464594203047</v>
      </c>
      <c r="BY35" s="14">
        <f t="shared" si="1"/>
        <v>8000.7743984542321</v>
      </c>
      <c r="BZ35" s="14">
        <f t="shared" si="1"/>
        <v>-1522.2783827630337</v>
      </c>
      <c r="CA35" s="14">
        <f t="shared" si="1"/>
        <v>-3737.2502465182915</v>
      </c>
      <c r="CB35" s="14">
        <f t="shared" si="1"/>
        <v>3842.0603617334273</v>
      </c>
      <c r="CC35" s="14">
        <f t="shared" si="1"/>
        <v>5772.346670509316</v>
      </c>
      <c r="CD35" s="14">
        <f t="shared" si="1"/>
        <v>-8555.9657448681537</v>
      </c>
      <c r="CE35" s="14">
        <f t="shared" si="1"/>
        <v>347.63434719853103</v>
      </c>
      <c r="CF35" s="14">
        <f t="shared" si="1"/>
        <v>3328.2494321230333</v>
      </c>
      <c r="CG35" s="14">
        <f t="shared" si="1"/>
        <v>-8039.7036481967662</v>
      </c>
      <c r="CH35" s="14">
        <f t="shared" si="1"/>
        <v>-2432.1279656640254</v>
      </c>
      <c r="CI35" s="14">
        <f t="shared" si="1"/>
        <v>22133.611093687592</v>
      </c>
      <c r="CJ35" s="14">
        <f t="shared" si="1"/>
        <v>7425.6846306412481</v>
      </c>
      <c r="CK35" s="14">
        <f t="shared" si="1"/>
        <v>-597.60173068614677</v>
      </c>
      <c r="CL35" s="14">
        <f t="shared" si="1"/>
        <v>-13621.395355994115</v>
      </c>
      <c r="CM35" s="14">
        <f t="shared" si="1"/>
        <v>5707.1984960041009</v>
      </c>
      <c r="CN35" s="14">
        <f t="shared" si="1"/>
        <v>2547.9826191170141</v>
      </c>
      <c r="CO35" s="14">
        <f t="shared" si="1"/>
        <v>-6687.9356489551719</v>
      </c>
      <c r="CP35" s="14">
        <f t="shared" si="1"/>
        <v>11813.964920318918</v>
      </c>
      <c r="CQ35" s="14">
        <f t="shared" ref="CQ35:CQ44" si="5">CQ7-BV7</f>
        <v>-11471.056450000498</v>
      </c>
      <c r="CR35" s="14">
        <f t="shared" si="1"/>
        <v>-18036.857877482893</v>
      </c>
      <c r="CS35" s="14">
        <f t="shared" si="1"/>
        <v>-3271.8361566374078</v>
      </c>
      <c r="CT35" s="14">
        <f t="shared" si="1"/>
        <v>-6363.710412209155</v>
      </c>
      <c r="CU35" s="14">
        <f t="shared" si="1"/>
        <v>3529.2431991014164</v>
      </c>
      <c r="CV35" s="14">
        <f t="shared" si="1"/>
        <v>-1273.7062078309245</v>
      </c>
      <c r="CW35" s="14">
        <f t="shared" si="1"/>
        <v>-68961.643868648214</v>
      </c>
      <c r="CX35" s="14">
        <f t="shared" si="1"/>
        <v>36198.538760970812</v>
      </c>
      <c r="CY35" s="14">
        <f t="shared" si="1"/>
        <v>-29999.460319562349</v>
      </c>
      <c r="CZ35" s="14">
        <f t="shared" si="1"/>
        <v>-19834.390276530059</v>
      </c>
      <c r="DA35" s="14">
        <f t="shared" si="1"/>
        <v>22422.440662231762</v>
      </c>
      <c r="DB35" s="14">
        <f t="shared" si="1"/>
        <v>928.00591245503165</v>
      </c>
      <c r="DC35" s="14">
        <f t="shared" si="1"/>
        <v>7392.3643750939518</v>
      </c>
      <c r="DD35" s="14">
        <f t="shared" si="1"/>
        <v>1317.0172774384264</v>
      </c>
      <c r="DE35" s="14">
        <f t="shared" si="1"/>
        <v>-6994.7840837708209</v>
      </c>
      <c r="DF35" s="14">
        <f t="shared" si="1"/>
        <v>31662.09500581678</v>
      </c>
      <c r="DG35" s="14">
        <f t="shared" si="1"/>
        <v>8582.345315608196</v>
      </c>
      <c r="DH35" s="14">
        <f t="shared" si="1"/>
        <v>-12341.430136509473</v>
      </c>
      <c r="DI35" s="14">
        <f t="shared" si="1"/>
        <v>3683.1125087351538</v>
      </c>
      <c r="DJ35" s="14">
        <f t="shared" ref="DJ35:DJ44" si="6">DJ7-CQ7</f>
        <v>-21863.645707995165</v>
      </c>
      <c r="DK35" s="14">
        <f t="shared" si="1"/>
        <v>-25959.544466073392</v>
      </c>
      <c r="DL35" s="14">
        <f t="shared" si="1"/>
        <v>3951.3330629216507</v>
      </c>
      <c r="DM35" s="14">
        <f t="shared" si="1"/>
        <v>12227.462729124352</v>
      </c>
      <c r="DN35" s="14">
        <f t="shared" si="1"/>
        <v>7360.9252862739377</v>
      </c>
      <c r="DO35" s="14">
        <f t="shared" si="1"/>
        <v>-5872.0553549914621</v>
      </c>
      <c r="DP35" s="14">
        <f t="shared" si="1"/>
        <v>9179.1564371041022</v>
      </c>
      <c r="DQ35" s="14">
        <f t="shared" si="1"/>
        <v>8241.0494745306205</v>
      </c>
      <c r="DR35" s="14">
        <f t="shared" si="1"/>
        <v>28598.881525850156</v>
      </c>
      <c r="DS35" s="14">
        <f t="shared" si="1"/>
        <v>3950.1468300651759</v>
      </c>
      <c r="DT35" s="14">
        <f t="shared" si="1"/>
        <v>-6182.3942834872287</v>
      </c>
      <c r="DU35" s="14">
        <f t="shared" si="1"/>
        <v>6347.472476991592</v>
      </c>
      <c r="DV35" s="14">
        <f t="shared" si="1"/>
        <v>1460.4148800291587</v>
      </c>
      <c r="DW35" s="14">
        <f t="shared" si="1"/>
        <v>3681.8816034782212</v>
      </c>
      <c r="DX35" s="14">
        <f t="shared" si="1"/>
        <v>4428.4156424640678</v>
      </c>
      <c r="DY35" s="14">
        <f t="shared" si="1"/>
        <v>6010.6056716495659</v>
      </c>
      <c r="DZ35" s="14">
        <f t="shared" si="1"/>
        <v>7604.9303662618622</v>
      </c>
      <c r="EA35" s="14">
        <f t="shared" si="1"/>
        <v>-2263.0457857493311</v>
      </c>
      <c r="EB35" s="14">
        <f t="shared" si="1"/>
        <v>7886.0680044016335</v>
      </c>
      <c r="EC35" s="14">
        <f t="shared" si="1"/>
        <v>1553.662869818043</v>
      </c>
      <c r="ED35" s="14">
        <f t="shared" si="1"/>
        <v>10584.609869539039</v>
      </c>
      <c r="EE35" s="14">
        <f t="shared" ref="EE35:EE44" si="7">EE7-DJ7</f>
        <v>57481.518852976151</v>
      </c>
      <c r="EF35" s="14">
        <f t="shared" si="1"/>
        <v>-25928.993651195662</v>
      </c>
    </row>
    <row r="36" spans="1:136" x14ac:dyDescent="0.3">
      <c r="A36" s="2" t="s">
        <v>21</v>
      </c>
      <c r="B36" s="14"/>
      <c r="C36" s="14">
        <f t="shared" si="0"/>
        <v>-155067.73181294976</v>
      </c>
      <c r="D36" s="14">
        <f t="shared" ref="D36:EF36" si="8">D8-C8</f>
        <v>46514.19802570052</v>
      </c>
      <c r="E36" s="14">
        <f t="shared" si="8"/>
        <v>146475.20134647016</v>
      </c>
      <c r="F36" s="14">
        <f t="shared" si="8"/>
        <v>17306.529743600287</v>
      </c>
      <c r="G36" s="14">
        <f t="shared" si="8"/>
        <v>-69073.712824578979</v>
      </c>
      <c r="H36" s="14">
        <f t="shared" si="8"/>
        <v>148092.86802302022</v>
      </c>
      <c r="I36" s="14">
        <f t="shared" si="8"/>
        <v>-181510.20651671605</v>
      </c>
      <c r="J36" s="14">
        <f t="shared" si="8"/>
        <v>22007.517826593365</v>
      </c>
      <c r="K36" s="14">
        <f t="shared" si="8"/>
        <v>147725.28791292151</v>
      </c>
      <c r="L36" s="14">
        <f t="shared" si="8"/>
        <v>-178202.28687380999</v>
      </c>
      <c r="M36" s="14">
        <f t="shared" si="8"/>
        <v>-78233.569365141448</v>
      </c>
      <c r="N36" s="14">
        <f t="shared" si="8"/>
        <v>366415.6666256371</v>
      </c>
      <c r="O36" s="14">
        <f t="shared" si="8"/>
        <v>-380181.98682155507</v>
      </c>
      <c r="P36" s="14">
        <f t="shared" si="8"/>
        <v>-19251.448294850066</v>
      </c>
      <c r="Q36" s="14">
        <f t="shared" si="8"/>
        <v>-16239.260091422126</v>
      </c>
      <c r="R36" s="14">
        <f t="shared" si="8"/>
        <v>-6358.0136027333792</v>
      </c>
      <c r="S36" s="14">
        <f t="shared" si="8"/>
        <v>-5129.1160917556845</v>
      </c>
      <c r="T36" s="14">
        <f t="shared" si="8"/>
        <v>-23691.955036045285</v>
      </c>
      <c r="U36" s="14">
        <f t="shared" si="8"/>
        <v>-17735.468161568977</v>
      </c>
      <c r="V36" s="14">
        <f t="shared" si="8"/>
        <v>275232.49074820918</v>
      </c>
      <c r="W36" s="14">
        <f t="shared" si="8"/>
        <v>-13922.169476686511</v>
      </c>
      <c r="X36" s="14">
        <f t="shared" si="8"/>
        <v>-48205.094197418541</v>
      </c>
      <c r="Y36" s="14">
        <f t="shared" si="8"/>
        <v>-49617.336250961293</v>
      </c>
      <c r="Z36" s="14">
        <f t="shared" si="8"/>
        <v>-10250.200492519652</v>
      </c>
      <c r="AA36" s="14">
        <f t="shared" si="8"/>
        <v>83925.260693074903</v>
      </c>
      <c r="AB36" s="14">
        <f t="shared" si="8"/>
        <v>-7086.4723662742181</v>
      </c>
      <c r="AC36" s="14">
        <f t="shared" si="8"/>
        <v>15545.543029416585</v>
      </c>
      <c r="AD36" s="14">
        <f t="shared" si="8"/>
        <v>-2592.2791771057528</v>
      </c>
      <c r="AE36" s="14">
        <f t="shared" si="8"/>
        <v>-19480.815338261309</v>
      </c>
      <c r="AF36" s="14">
        <f t="shared" si="8"/>
        <v>-2479.7097958438098</v>
      </c>
      <c r="AG36" s="14">
        <f t="shared" si="2"/>
        <v>-248206.97097885387</v>
      </c>
      <c r="AH36" s="14">
        <f t="shared" si="8"/>
        <v>49600.731083871215</v>
      </c>
      <c r="AI36" s="14">
        <f t="shared" si="8"/>
        <v>-7292.0439127142308</v>
      </c>
      <c r="AJ36" s="14">
        <f t="shared" si="8"/>
        <v>5894.7327940975083</v>
      </c>
      <c r="AK36" s="14">
        <f t="shared" si="8"/>
        <v>-11029.480709006311</v>
      </c>
      <c r="AL36" s="14">
        <f t="shared" si="8"/>
        <v>9669.3163340715691</v>
      </c>
      <c r="AM36" s="14">
        <f t="shared" si="8"/>
        <v>-3794.2363494092133</v>
      </c>
      <c r="AN36" s="14">
        <f t="shared" si="8"/>
        <v>-28045.975958212046</v>
      </c>
      <c r="AO36" s="14">
        <f t="shared" si="8"/>
        <v>14456.865909302258</v>
      </c>
      <c r="AP36" s="14">
        <f t="shared" si="8"/>
        <v>9391.1080845437245</v>
      </c>
      <c r="AQ36" s="14">
        <f t="shared" si="8"/>
        <v>5760.5334200608777</v>
      </c>
      <c r="AR36" s="14">
        <f t="shared" si="8"/>
        <v>7246.3038071435876</v>
      </c>
      <c r="AS36" s="14">
        <f t="shared" si="8"/>
        <v>15368.286321973312</v>
      </c>
      <c r="AT36" s="14">
        <f t="shared" si="8"/>
        <v>-23474.635345014627</v>
      </c>
      <c r="AU36" s="14">
        <f t="shared" si="8"/>
        <v>-20087.657189593185</v>
      </c>
      <c r="AV36" s="14">
        <f t="shared" si="8"/>
        <v>59603.86417685484</v>
      </c>
      <c r="AW36" s="14">
        <f t="shared" si="8"/>
        <v>-3038.7754630460404</v>
      </c>
      <c r="AX36" s="14">
        <f t="shared" si="8"/>
        <v>-93.873932375689037</v>
      </c>
      <c r="AY36" s="14">
        <f t="shared" si="8"/>
        <v>-37616.578437569668</v>
      </c>
      <c r="AZ36" s="14">
        <f t="shared" si="8"/>
        <v>-828.44561726727989</v>
      </c>
      <c r="BA36" s="14">
        <f t="shared" si="3"/>
        <v>44390.360199355637</v>
      </c>
      <c r="BB36" s="14">
        <f t="shared" si="8"/>
        <v>51358.769891226664</v>
      </c>
      <c r="BC36" s="14">
        <f t="shared" si="8"/>
        <v>516.89248273300473</v>
      </c>
      <c r="BD36" s="14">
        <f t="shared" si="8"/>
        <v>16935.793762616348</v>
      </c>
      <c r="BE36" s="14">
        <f t="shared" si="8"/>
        <v>12440.350868396577</v>
      </c>
      <c r="BF36" s="14">
        <f t="shared" si="8"/>
        <v>14100.12122054596</v>
      </c>
      <c r="BG36" s="14">
        <f t="shared" si="8"/>
        <v>3465.1119748450583</v>
      </c>
      <c r="BH36" s="14">
        <f t="shared" si="8"/>
        <v>3635.5998840186512</v>
      </c>
      <c r="BI36" s="14">
        <f t="shared" si="8"/>
        <v>-222575.06189580716</v>
      </c>
      <c r="BJ36" s="14">
        <f t="shared" si="8"/>
        <v>-6298.1594625113066</v>
      </c>
      <c r="BK36" s="14">
        <f t="shared" si="8"/>
        <v>-3354.0560358096845</v>
      </c>
      <c r="BL36" s="14">
        <f t="shared" si="8"/>
        <v>-23421.871894998942</v>
      </c>
      <c r="BM36" s="14">
        <f t="shared" si="8"/>
        <v>38525.801055669552</v>
      </c>
      <c r="BN36" s="14">
        <f t="shared" si="8"/>
        <v>48689.848783547059</v>
      </c>
      <c r="BO36" s="14">
        <f t="shared" si="8"/>
        <v>-39262.008153949399</v>
      </c>
      <c r="BP36" s="14">
        <f t="shared" si="8"/>
        <v>-4590.2163811163045</v>
      </c>
      <c r="BQ36" s="14">
        <f t="shared" si="8"/>
        <v>-3245.2244849065319</v>
      </c>
      <c r="BR36" s="14">
        <f t="shared" si="8"/>
        <v>291.03290806990117</v>
      </c>
      <c r="BS36" s="14">
        <f t="shared" si="8"/>
        <v>139650.48453597073</v>
      </c>
      <c r="BT36" s="14">
        <f t="shared" si="8"/>
        <v>-2747.8295576204546</v>
      </c>
      <c r="BU36" s="14">
        <f t="shared" si="8"/>
        <v>2269.8618223436642</v>
      </c>
      <c r="BV36" s="14">
        <f t="shared" si="4"/>
        <v>45183.943495634943</v>
      </c>
      <c r="BW36" s="14">
        <f t="shared" si="8"/>
        <v>44985.78882378852</v>
      </c>
      <c r="BX36" s="14">
        <f t="shared" si="8"/>
        <v>-263261.31876922003</v>
      </c>
      <c r="BY36" s="14">
        <f t="shared" si="8"/>
        <v>-6170.7975319540128</v>
      </c>
      <c r="BZ36" s="14">
        <f t="shared" si="8"/>
        <v>17673.6304038628</v>
      </c>
      <c r="CA36" s="14">
        <f t="shared" si="8"/>
        <v>976.28565941820852</v>
      </c>
      <c r="CB36" s="14">
        <f t="shared" si="8"/>
        <v>15724.295339366887</v>
      </c>
      <c r="CC36" s="14">
        <f t="shared" si="8"/>
        <v>-46353.854094109498</v>
      </c>
      <c r="CD36" s="14">
        <f t="shared" si="8"/>
        <v>-11346.995210932102</v>
      </c>
      <c r="CE36" s="14">
        <f t="shared" si="8"/>
        <v>-12414.067947198637</v>
      </c>
      <c r="CF36" s="14">
        <f t="shared" si="8"/>
        <v>20151.781345477328</v>
      </c>
      <c r="CG36" s="14">
        <f t="shared" si="8"/>
        <v>13559.823837696807</v>
      </c>
      <c r="CH36" s="14">
        <f t="shared" si="8"/>
        <v>238068.74331826367</v>
      </c>
      <c r="CI36" s="14">
        <f t="shared" si="8"/>
        <v>-24604.264022287214</v>
      </c>
      <c r="CJ36" s="14">
        <f t="shared" si="8"/>
        <v>-69316.49905214156</v>
      </c>
      <c r="CK36" s="14">
        <f t="shared" si="8"/>
        <v>-117463.807413114</v>
      </c>
      <c r="CL36" s="14">
        <f t="shared" si="8"/>
        <v>-10170.881447105436</v>
      </c>
      <c r="CM36" s="14">
        <f t="shared" si="8"/>
        <v>83494.092770895921</v>
      </c>
      <c r="CN36" s="14">
        <f t="shared" si="8"/>
        <v>12784.542312682839</v>
      </c>
      <c r="CO36" s="14">
        <f t="shared" si="8"/>
        <v>910.42814455460757</v>
      </c>
      <c r="CP36" s="14">
        <f t="shared" si="8"/>
        <v>274528.89533638232</v>
      </c>
      <c r="CQ36" s="14">
        <f t="shared" si="5"/>
        <v>-170432.82389159943</v>
      </c>
      <c r="CR36" s="14">
        <f t="shared" si="8"/>
        <v>45969.205374882556</v>
      </c>
      <c r="CS36" s="14">
        <f t="shared" si="8"/>
        <v>5069.2021014373749</v>
      </c>
      <c r="CT36" s="14">
        <f t="shared" si="8"/>
        <v>3413.3305674092844</v>
      </c>
      <c r="CU36" s="14">
        <f t="shared" si="8"/>
        <v>-141972.14918160136</v>
      </c>
      <c r="CV36" s="14">
        <f t="shared" si="8"/>
        <v>-13315.7516379687</v>
      </c>
      <c r="CW36" s="14">
        <f t="shared" si="8"/>
        <v>67081.07199344784</v>
      </c>
      <c r="CX36" s="14">
        <f t="shared" si="8"/>
        <v>-4455.7351036702748</v>
      </c>
      <c r="CY36" s="14">
        <f t="shared" si="8"/>
        <v>278201.3681464619</v>
      </c>
      <c r="CZ36" s="14">
        <f t="shared" si="8"/>
        <v>13290.808462930378</v>
      </c>
      <c r="DA36" s="14">
        <f t="shared" si="8"/>
        <v>-1166.6102926321328</v>
      </c>
      <c r="DB36" s="14">
        <f t="shared" si="8"/>
        <v>-23808.101199354744</v>
      </c>
      <c r="DC36" s="14">
        <f t="shared" si="8"/>
        <v>-28624.831780794077</v>
      </c>
      <c r="DD36" s="14">
        <f t="shared" si="8"/>
        <v>-168061.53897323878</v>
      </c>
      <c r="DE36" s="14">
        <f t="shared" si="8"/>
        <v>-303.08304572873749</v>
      </c>
      <c r="DF36" s="14">
        <f t="shared" si="8"/>
        <v>3367.9761461832095</v>
      </c>
      <c r="DG36" s="14">
        <f t="shared" si="8"/>
        <v>-3502.5387292082887</v>
      </c>
      <c r="DH36" s="14">
        <f t="shared" si="8"/>
        <v>17114.064676609356</v>
      </c>
      <c r="DI36" s="14">
        <f t="shared" si="8"/>
        <v>72958.280190764694</v>
      </c>
      <c r="DJ36" s="14">
        <f t="shared" si="6"/>
        <v>120826.45005649538</v>
      </c>
      <c r="DK36" s="14">
        <f t="shared" si="8"/>
        <v>56557.0697915731</v>
      </c>
      <c r="DL36" s="14">
        <f t="shared" si="8"/>
        <v>5924.3563211783767</v>
      </c>
      <c r="DM36" s="14">
        <f t="shared" si="8"/>
        <v>-117810.62860232405</v>
      </c>
      <c r="DN36" s="14">
        <f t="shared" si="8"/>
        <v>9809.0773717258126</v>
      </c>
      <c r="DO36" s="14">
        <f t="shared" si="8"/>
        <v>-741.64502250822261</v>
      </c>
      <c r="DP36" s="14">
        <f t="shared" si="8"/>
        <v>-48391.78377360478</v>
      </c>
      <c r="DQ36" s="14">
        <f t="shared" si="8"/>
        <v>-6003.9109031304251</v>
      </c>
      <c r="DR36" s="14">
        <f t="shared" si="8"/>
        <v>-90785.182787350379</v>
      </c>
      <c r="DS36" s="14">
        <f t="shared" si="8"/>
        <v>-1592.8199277648237</v>
      </c>
      <c r="DT36" s="14">
        <f t="shared" si="8"/>
        <v>-2710.4009565128945</v>
      </c>
      <c r="DU36" s="14">
        <f t="shared" si="8"/>
        <v>-22635.713950791396</v>
      </c>
      <c r="DV36" s="14">
        <f t="shared" si="8"/>
        <v>-69513.57963172975</v>
      </c>
      <c r="DW36" s="14">
        <f t="shared" si="8"/>
        <v>206642.84060322214</v>
      </c>
      <c r="DX36" s="14">
        <f t="shared" si="8"/>
        <v>-35594.672341563972</v>
      </c>
      <c r="DY36" s="14">
        <f t="shared" si="8"/>
        <v>-59973.713371349499</v>
      </c>
      <c r="DZ36" s="14">
        <f t="shared" si="8"/>
        <v>-6593.7103541621473</v>
      </c>
      <c r="EA36" s="14">
        <f t="shared" si="8"/>
        <v>-5727.4574158503674</v>
      </c>
      <c r="EB36" s="14">
        <f t="shared" si="8"/>
        <v>341909.12381749856</v>
      </c>
      <c r="EC36" s="14">
        <f t="shared" si="8"/>
        <v>-9129.6336270184256</v>
      </c>
      <c r="ED36" s="14">
        <f t="shared" si="8"/>
        <v>13563.760033761384</v>
      </c>
      <c r="EE36" s="14">
        <f t="shared" si="7"/>
        <v>189070.94051712356</v>
      </c>
      <c r="EF36" s="14">
        <f t="shared" si="8"/>
        <v>37891.189433695516</v>
      </c>
    </row>
    <row r="37" spans="1:136" x14ac:dyDescent="0.3">
      <c r="A37" s="1" t="s">
        <v>2</v>
      </c>
      <c r="B37" s="14"/>
      <c r="C37" s="14">
        <f t="shared" si="0"/>
        <v>-107111.0791586999</v>
      </c>
      <c r="D37" s="14">
        <f t="shared" ref="D37:EF37" si="9">D9-C9</f>
        <v>39857.426203499839</v>
      </c>
      <c r="E37" s="14">
        <f t="shared" si="9"/>
        <v>-38958.881267599936</v>
      </c>
      <c r="F37" s="14">
        <f t="shared" si="9"/>
        <v>20784.307187500061</v>
      </c>
      <c r="G37" s="14">
        <f t="shared" si="9"/>
        <v>31029.352400799922</v>
      </c>
      <c r="H37" s="14">
        <f t="shared" si="9"/>
        <v>-49354.786950899987</v>
      </c>
      <c r="I37" s="14">
        <f t="shared" si="9"/>
        <v>-2668.2827969999635</v>
      </c>
      <c r="J37" s="14">
        <f t="shared" si="9"/>
        <v>2617.7048847000115</v>
      </c>
      <c r="K37" s="14">
        <f t="shared" si="9"/>
        <v>-16101.726421300089</v>
      </c>
      <c r="L37" s="14">
        <f t="shared" si="9"/>
        <v>62860.027044000104</v>
      </c>
      <c r="M37" s="14">
        <f t="shared" si="9"/>
        <v>-27868.476569899998</v>
      </c>
      <c r="N37" s="14">
        <f t="shared" si="9"/>
        <v>48326.270609400002</v>
      </c>
      <c r="O37" s="14">
        <f t="shared" si="9"/>
        <v>29383.476299299917</v>
      </c>
      <c r="P37" s="14">
        <f t="shared" si="9"/>
        <v>-3485.2060952999745</v>
      </c>
      <c r="Q37" s="14">
        <f t="shared" si="9"/>
        <v>-5154.5127910000156</v>
      </c>
      <c r="R37" s="14">
        <f t="shared" si="9"/>
        <v>-4236.2481201999472</v>
      </c>
      <c r="S37" s="14">
        <f t="shared" si="9"/>
        <v>-6814.2662664001109</v>
      </c>
      <c r="T37" s="14">
        <f t="shared" si="9"/>
        <v>9476.4847804000019</v>
      </c>
      <c r="U37" s="14">
        <f t="shared" si="9"/>
        <v>-8820.1950827998808</v>
      </c>
      <c r="V37" s="14">
        <f t="shared" si="9"/>
        <v>-35215.006130800059</v>
      </c>
      <c r="W37" s="14">
        <f t="shared" si="9"/>
        <v>-14095.271098700003</v>
      </c>
      <c r="X37" s="14">
        <f t="shared" si="9"/>
        <v>-46597.550522399892</v>
      </c>
      <c r="Y37" s="14">
        <f t="shared" si="9"/>
        <v>-49463.773572200153</v>
      </c>
      <c r="Z37" s="14">
        <f t="shared" si="9"/>
        <v>-9916.3844322999939</v>
      </c>
      <c r="AA37" s="14">
        <f t="shared" si="9"/>
        <v>-852.39470449998043</v>
      </c>
      <c r="AB37" s="14">
        <f t="shared" si="9"/>
        <v>-595.71823690016754</v>
      </c>
      <c r="AC37" s="14">
        <f t="shared" si="9"/>
        <v>-856.07837309979368</v>
      </c>
      <c r="AD37" s="14">
        <f t="shared" si="9"/>
        <v>-2144.0796557997819</v>
      </c>
      <c r="AE37" s="14">
        <f t="shared" si="9"/>
        <v>13817.805215699947</v>
      </c>
      <c r="AF37" s="14">
        <f t="shared" si="9"/>
        <v>-2950.8578273000894</v>
      </c>
      <c r="AG37" s="14">
        <f t="shared" si="2"/>
        <v>-140507.2236253001</v>
      </c>
      <c r="AH37" s="14">
        <f t="shared" si="9"/>
        <v>53896.25224630005</v>
      </c>
      <c r="AI37" s="14">
        <f t="shared" si="9"/>
        <v>-6121.607469199982</v>
      </c>
      <c r="AJ37" s="14">
        <f t="shared" si="9"/>
        <v>3755.8435800999287</v>
      </c>
      <c r="AK37" s="14">
        <f t="shared" si="9"/>
        <v>-12773.83766709984</v>
      </c>
      <c r="AL37" s="14">
        <f t="shared" si="9"/>
        <v>10454.108354399912</v>
      </c>
      <c r="AM37" s="14">
        <f t="shared" si="9"/>
        <v>244.27343319996726</v>
      </c>
      <c r="AN37" s="14">
        <f t="shared" si="9"/>
        <v>844.65435870003421</v>
      </c>
      <c r="AO37" s="14">
        <f t="shared" si="9"/>
        <v>-38046.852633700008</v>
      </c>
      <c r="AP37" s="14">
        <f t="shared" si="9"/>
        <v>8799.37771050015</v>
      </c>
      <c r="AQ37" s="14">
        <f t="shared" si="9"/>
        <v>4624.8893189999508</v>
      </c>
      <c r="AR37" s="14">
        <f t="shared" si="9"/>
        <v>7004.3696101000533</v>
      </c>
      <c r="AS37" s="14">
        <f t="shared" si="9"/>
        <v>15146.677455599769</v>
      </c>
      <c r="AT37" s="14">
        <f t="shared" si="9"/>
        <v>-26738.112703699968</v>
      </c>
      <c r="AU37" s="14">
        <f t="shared" si="9"/>
        <v>-16764.382109599886</v>
      </c>
      <c r="AV37" s="14">
        <f t="shared" si="9"/>
        <v>-962.9736438000109</v>
      </c>
      <c r="AW37" s="14">
        <f t="shared" si="9"/>
        <v>-3672.9844626002014</v>
      </c>
      <c r="AX37" s="14">
        <f t="shared" si="9"/>
        <v>2660.5841088000452</v>
      </c>
      <c r="AY37" s="14">
        <f t="shared" si="9"/>
        <v>260.72013300005347</v>
      </c>
      <c r="AZ37" s="14">
        <f t="shared" si="9"/>
        <v>-172.36596929992083</v>
      </c>
      <c r="BA37" s="14">
        <f t="shared" si="3"/>
        <v>1994.9627695999807</v>
      </c>
      <c r="BB37" s="14">
        <f t="shared" si="9"/>
        <v>53961.104751800129</v>
      </c>
      <c r="BC37" s="14">
        <f t="shared" si="9"/>
        <v>687.41306389996316</v>
      </c>
      <c r="BD37" s="14">
        <f t="shared" si="9"/>
        <v>3795.670535799989</v>
      </c>
      <c r="BE37" s="14">
        <f t="shared" si="9"/>
        <v>13320.27394829999</v>
      </c>
      <c r="BF37" s="14">
        <f t="shared" si="9"/>
        <v>11983.155455900065</v>
      </c>
      <c r="BG37" s="14">
        <f t="shared" si="9"/>
        <v>1721.0654533999041</v>
      </c>
      <c r="BH37" s="14">
        <f t="shared" si="9"/>
        <v>3465.0640821000561</v>
      </c>
      <c r="BI37" s="14">
        <f t="shared" si="9"/>
        <v>-192444.53513710003</v>
      </c>
      <c r="BJ37" s="14">
        <f t="shared" si="9"/>
        <v>-2972.9248766999226</v>
      </c>
      <c r="BK37" s="14">
        <f t="shared" si="9"/>
        <v>-2830.5781170001719</v>
      </c>
      <c r="BL37" s="14">
        <f t="shared" si="9"/>
        <v>1035.0736309001222</v>
      </c>
      <c r="BM37" s="14">
        <f t="shared" si="9"/>
        <v>-18279.508857200155</v>
      </c>
      <c r="BN37" s="14">
        <f t="shared" si="9"/>
        <v>-9994.5281730999704</v>
      </c>
      <c r="BO37" s="14">
        <f t="shared" si="9"/>
        <v>-38223.108577100094</v>
      </c>
      <c r="BP37" s="14">
        <f t="shared" si="9"/>
        <v>-5284.7362236997578</v>
      </c>
      <c r="BQ37" s="14">
        <f t="shared" si="9"/>
        <v>-4492.3585340999998</v>
      </c>
      <c r="BR37" s="14">
        <f t="shared" si="9"/>
        <v>-386.39313109999057</v>
      </c>
      <c r="BS37" s="14">
        <f t="shared" si="9"/>
        <v>12041.868390399846</v>
      </c>
      <c r="BT37" s="14">
        <f t="shared" si="9"/>
        <v>1138.787686200114</v>
      </c>
      <c r="BU37" s="14">
        <f t="shared" si="9"/>
        <v>220.72731870005373</v>
      </c>
      <c r="BV37" s="14">
        <f t="shared" si="4"/>
        <v>-154759.0209022999</v>
      </c>
      <c r="BW37" s="14">
        <f t="shared" si="9"/>
        <v>43558.12193569995</v>
      </c>
      <c r="BX37" s="14">
        <f t="shared" si="9"/>
        <v>5716.8043577001663</v>
      </c>
      <c r="BY37" s="14">
        <f t="shared" si="9"/>
        <v>-2647.8018188001588</v>
      </c>
      <c r="BZ37" s="14">
        <f t="shared" si="9"/>
        <v>16148.077830500202</v>
      </c>
      <c r="CA37" s="14">
        <f t="shared" si="9"/>
        <v>3021.9234125999501</v>
      </c>
      <c r="CB37" s="14">
        <f t="shared" si="9"/>
        <v>14045.373229699791</v>
      </c>
      <c r="CC37" s="14">
        <f t="shared" si="9"/>
        <v>-2251.6871283999644</v>
      </c>
      <c r="CD37" s="14">
        <f t="shared" si="9"/>
        <v>-5225.545668900013</v>
      </c>
      <c r="CE37" s="14">
        <f t="shared" si="9"/>
        <v>1885.6470087001799</v>
      </c>
      <c r="CF37" s="14">
        <f t="shared" si="9"/>
        <v>866.95767679996789</v>
      </c>
      <c r="CG37" s="14">
        <f t="shared" si="9"/>
        <v>3910.6774087998783</v>
      </c>
      <c r="CH37" s="14">
        <f t="shared" si="9"/>
        <v>-13242.795953599969</v>
      </c>
      <c r="CI37" s="14">
        <f t="shared" si="9"/>
        <v>-26049.546745900181</v>
      </c>
      <c r="CJ37" s="14">
        <f t="shared" si="9"/>
        <v>-69193.075358099653</v>
      </c>
      <c r="CK37" s="14">
        <f t="shared" si="9"/>
        <v>-104100.08568809996</v>
      </c>
      <c r="CL37" s="14">
        <f t="shared" si="9"/>
        <v>-11754.88782760012</v>
      </c>
      <c r="CM37" s="14">
        <f t="shared" si="9"/>
        <v>213.03680300002452</v>
      </c>
      <c r="CN37" s="14">
        <f t="shared" si="9"/>
        <v>12717.685820199898</v>
      </c>
      <c r="CO37" s="14">
        <f t="shared" si="9"/>
        <v>-181.67652809992433</v>
      </c>
      <c r="CP37" s="14">
        <f t="shared" si="9"/>
        <v>293564.01999309997</v>
      </c>
      <c r="CQ37" s="14">
        <f t="shared" si="5"/>
        <v>51556.016069400008</v>
      </c>
      <c r="CR37" s="14">
        <f t="shared" si="9"/>
        <v>39764.55822230014</v>
      </c>
      <c r="CS37" s="14">
        <f t="shared" si="9"/>
        <v>7688.5854681998026</v>
      </c>
      <c r="CT37" s="14">
        <f t="shared" si="9"/>
        <v>384.63177049998194</v>
      </c>
      <c r="CU37" s="14">
        <f t="shared" si="9"/>
        <v>13570.27356589993</v>
      </c>
      <c r="CV37" s="14">
        <f t="shared" si="9"/>
        <v>591.8900465000188</v>
      </c>
      <c r="CW37" s="14">
        <f t="shared" si="9"/>
        <v>69442.414720200119</v>
      </c>
      <c r="CX37" s="14">
        <f t="shared" si="9"/>
        <v>1522.3063433000352</v>
      </c>
      <c r="CY37" s="14">
        <f t="shared" si="9"/>
        <v>-34907.943631499889</v>
      </c>
      <c r="CZ37" s="14">
        <f t="shared" si="9"/>
        <v>10491.393437599996</v>
      </c>
      <c r="DA37" s="14">
        <f t="shared" si="9"/>
        <v>-1795.28212240024</v>
      </c>
      <c r="DB37" s="14">
        <f t="shared" si="9"/>
        <v>-23326.858848999953</v>
      </c>
      <c r="DC37" s="14">
        <f t="shared" si="9"/>
        <v>-33573.374417899875</v>
      </c>
      <c r="DD37" s="14">
        <f t="shared" si="9"/>
        <v>-5047.9561921001878</v>
      </c>
      <c r="DE37" s="14">
        <f t="shared" si="9"/>
        <v>-2453.8448625998572</v>
      </c>
      <c r="DF37" s="14">
        <f t="shared" si="9"/>
        <v>983.819935699692</v>
      </c>
      <c r="DG37" s="14">
        <f t="shared" si="9"/>
        <v>-4761.3910869997926</v>
      </c>
      <c r="DH37" s="14">
        <f t="shared" si="9"/>
        <v>8135.994636700023</v>
      </c>
      <c r="DI37" s="14">
        <f t="shared" si="9"/>
        <v>3315.8015131000429</v>
      </c>
      <c r="DJ37" s="14">
        <f t="shared" si="6"/>
        <v>50407.29918490001</v>
      </c>
      <c r="DK37" s="14">
        <f t="shared" si="9"/>
        <v>57797.52431950008</v>
      </c>
      <c r="DL37" s="14">
        <f t="shared" si="9"/>
        <v>3524.0898692999035</v>
      </c>
      <c r="DM37" s="14">
        <f t="shared" si="9"/>
        <v>6165.561918899999</v>
      </c>
      <c r="DN37" s="14">
        <f t="shared" si="9"/>
        <v>10204.446223599953</v>
      </c>
      <c r="DO37" s="14">
        <f t="shared" si="9"/>
        <v>-1256.3804768000264</v>
      </c>
      <c r="DP37" s="14">
        <f t="shared" si="9"/>
        <v>10975.428908200178</v>
      </c>
      <c r="DQ37" s="14">
        <f t="shared" si="9"/>
        <v>-2989.1327691999613</v>
      </c>
      <c r="DR37" s="14">
        <f t="shared" si="9"/>
        <v>-31871.157470600097</v>
      </c>
      <c r="DS37" s="14">
        <f t="shared" si="9"/>
        <v>641.75780820008367</v>
      </c>
      <c r="DT37" s="14">
        <f t="shared" si="9"/>
        <v>4238.0180552997626</v>
      </c>
      <c r="DU37" s="14">
        <f t="shared" si="9"/>
        <v>-6484.0529350999277</v>
      </c>
      <c r="DV37" s="14">
        <f t="shared" si="9"/>
        <v>-13905.530780700035</v>
      </c>
      <c r="DW37" s="14">
        <f t="shared" si="9"/>
        <v>-15876.340527799912</v>
      </c>
      <c r="DX37" s="14">
        <f t="shared" si="9"/>
        <v>-34664.145503200125</v>
      </c>
      <c r="DY37" s="14">
        <f t="shared" si="9"/>
        <v>-57246.33401279978</v>
      </c>
      <c r="DZ37" s="14">
        <f t="shared" si="9"/>
        <v>-6756.5635845999932</v>
      </c>
      <c r="EA37" s="14">
        <f t="shared" si="9"/>
        <v>-3980.4895018002717</v>
      </c>
      <c r="EB37" s="14">
        <f t="shared" si="9"/>
        <v>9666.3871675999835</v>
      </c>
      <c r="EC37" s="14">
        <f t="shared" si="9"/>
        <v>-9351.621907599736</v>
      </c>
      <c r="ED37" s="14">
        <f t="shared" si="9"/>
        <v>12263.451041799737</v>
      </c>
      <c r="EE37" s="14">
        <f t="shared" si="7"/>
        <v>-9129.6974843000062</v>
      </c>
      <c r="EF37" s="14">
        <f t="shared" si="9"/>
        <v>15282.208396600094</v>
      </c>
    </row>
    <row r="38" spans="1:136" x14ac:dyDescent="0.3">
      <c r="A38" s="2" t="s">
        <v>3</v>
      </c>
      <c r="B38" s="14"/>
      <c r="C38" s="14">
        <f t="shared" si="0"/>
        <v>-51069.012459399994</v>
      </c>
      <c r="D38" s="14">
        <f t="shared" ref="D38:EF38" si="10">D10-C10</f>
        <v>8005.8553024999565</v>
      </c>
      <c r="E38" s="14">
        <f t="shared" si="10"/>
        <v>179991.43552210007</v>
      </c>
      <c r="F38" s="14">
        <f t="shared" si="10"/>
        <v>-12628.842946600053</v>
      </c>
      <c r="G38" s="14">
        <f t="shared" si="10"/>
        <v>-98364.121486400021</v>
      </c>
      <c r="H38" s="14">
        <f t="shared" si="10"/>
        <v>200146.99490500009</v>
      </c>
      <c r="I38" s="14">
        <f t="shared" si="10"/>
        <v>-170001.22576109995</v>
      </c>
      <c r="J38" s="14">
        <f t="shared" si="10"/>
        <v>27185.359100400121</v>
      </c>
      <c r="K38" s="14">
        <f t="shared" si="10"/>
        <v>171797.14829879999</v>
      </c>
      <c r="L38" s="14">
        <f t="shared" si="10"/>
        <v>-235728.40900210012</v>
      </c>
      <c r="M38" s="14">
        <f t="shared" si="10"/>
        <v>-39778.047775200102</v>
      </c>
      <c r="N38" s="14">
        <f t="shared" si="10"/>
        <v>323670.38211760006</v>
      </c>
      <c r="O38" s="14">
        <f t="shared" si="10"/>
        <v>-410629.05645659985</v>
      </c>
      <c r="P38" s="14">
        <f t="shared" si="10"/>
        <v>-12625.226066600066</v>
      </c>
      <c r="Q38" s="14">
        <f t="shared" si="10"/>
        <v>-13849.647271100024</v>
      </c>
      <c r="R38" s="14">
        <f t="shared" si="10"/>
        <v>-907.00765180005692</v>
      </c>
      <c r="S38" s="14">
        <f t="shared" si="10"/>
        <v>-635.12002259999281</v>
      </c>
      <c r="T38" s="14">
        <f t="shared" si="10"/>
        <v>-34724.83885349991</v>
      </c>
      <c r="U38" s="14">
        <f t="shared" si="10"/>
        <v>-6257.5736138000502</v>
      </c>
      <c r="V38" s="14">
        <f t="shared" si="10"/>
        <v>310400.84685849992</v>
      </c>
      <c r="W38" s="14">
        <f t="shared" si="10"/>
        <v>-1220.0482385000214</v>
      </c>
      <c r="X38" s="14">
        <f t="shared" si="10"/>
        <v>241.9167292000493</v>
      </c>
      <c r="Y38" s="14">
        <f t="shared" si="10"/>
        <v>374.38062750000972</v>
      </c>
      <c r="Z38" s="14">
        <f t="shared" si="10"/>
        <v>494.62169730011374</v>
      </c>
      <c r="AA38" s="14">
        <f t="shared" si="10"/>
        <v>86978.70531830017</v>
      </c>
      <c r="AB38" s="14">
        <f t="shared" si="10"/>
        <v>-6719.3762021001894</v>
      </c>
      <c r="AC38" s="14">
        <f t="shared" si="10"/>
        <v>16317.124707700103</v>
      </c>
      <c r="AD38" s="14">
        <f t="shared" si="10"/>
        <v>489.10067709977739</v>
      </c>
      <c r="AE38" s="14">
        <f t="shared" si="10"/>
        <v>-33896.945836600033</v>
      </c>
      <c r="AF38" s="14">
        <f t="shared" si="10"/>
        <v>159.13698429998476</v>
      </c>
      <c r="AG38" s="14">
        <f t="shared" si="2"/>
        <v>-105849.86047519988</v>
      </c>
      <c r="AH38" s="14">
        <f t="shared" si="10"/>
        <v>475.12032789981458</v>
      </c>
      <c r="AI38" s="14">
        <f t="shared" si="10"/>
        <v>300.06257459998596</v>
      </c>
      <c r="AJ38" s="14">
        <f t="shared" si="10"/>
        <v>-604.97893719980493</v>
      </c>
      <c r="AK38" s="14">
        <f t="shared" si="10"/>
        <v>155.75303649995476</v>
      </c>
      <c r="AL38" s="14">
        <f t="shared" si="10"/>
        <v>-1184.4430963001214</v>
      </c>
      <c r="AM38" s="14">
        <f t="shared" si="10"/>
        <v>-6482.9173279999522</v>
      </c>
      <c r="AN38" s="14">
        <f t="shared" si="10"/>
        <v>-26358.486448199954</v>
      </c>
      <c r="AO38" s="14">
        <f t="shared" si="10"/>
        <v>30125.546524800011</v>
      </c>
      <c r="AP38" s="14">
        <f t="shared" si="10"/>
        <v>158.72644830006175</v>
      </c>
      <c r="AQ38" s="14">
        <f t="shared" si="10"/>
        <v>2482.930103099905</v>
      </c>
      <c r="AR38" s="14">
        <f t="shared" si="10"/>
        <v>470.46105089993216</v>
      </c>
      <c r="AS38" s="14">
        <f t="shared" si="10"/>
        <v>254.36923079995904</v>
      </c>
      <c r="AT38" s="14">
        <f t="shared" si="10"/>
        <v>2406.0031077001477</v>
      </c>
      <c r="AU38" s="14">
        <f t="shared" si="10"/>
        <v>-2942.4210191998864</v>
      </c>
      <c r="AV38" s="14">
        <f t="shared" si="10"/>
        <v>54748.165665899753</v>
      </c>
      <c r="AW38" s="14">
        <f t="shared" si="10"/>
        <v>509.28968980000354</v>
      </c>
      <c r="AX38" s="14">
        <f t="shared" si="10"/>
        <v>-3188.0315011998173</v>
      </c>
      <c r="AY38" s="14">
        <f t="shared" si="10"/>
        <v>-35632.470392100047</v>
      </c>
      <c r="AZ38" s="14">
        <f t="shared" si="10"/>
        <v>162.68322450004052</v>
      </c>
      <c r="BA38" s="14">
        <f t="shared" si="3"/>
        <v>17804.793007599888</v>
      </c>
      <c r="BB38" s="14">
        <f t="shared" si="10"/>
        <v>489.14061620004941</v>
      </c>
      <c r="BC38" s="14">
        <f t="shared" si="10"/>
        <v>1273.4076532999752</v>
      </c>
      <c r="BD38" s="14">
        <f t="shared" si="10"/>
        <v>15765.981778300018</v>
      </c>
      <c r="BE38" s="14">
        <f t="shared" si="10"/>
        <v>153.98537089989986</v>
      </c>
      <c r="BF38" s="14">
        <f t="shared" si="10"/>
        <v>166.51445980009157</v>
      </c>
      <c r="BG38" s="14">
        <f t="shared" si="10"/>
        <v>492.54270639992319</v>
      </c>
      <c r="BH38" s="14">
        <f t="shared" si="10"/>
        <v>166.55174580018502</v>
      </c>
      <c r="BI38" s="14">
        <f t="shared" si="10"/>
        <v>-30644.382268700167</v>
      </c>
      <c r="BJ38" s="14">
        <f t="shared" si="10"/>
        <v>-4840.0060663999757</v>
      </c>
      <c r="BK38" s="14">
        <f t="shared" si="10"/>
        <v>-1225.9466759997886</v>
      </c>
      <c r="BL38" s="14">
        <f t="shared" si="10"/>
        <v>-18020.3801458003</v>
      </c>
      <c r="BM38" s="14">
        <f t="shared" si="10"/>
        <v>51321.004869100172</v>
      </c>
      <c r="BN38" s="14">
        <f t="shared" si="10"/>
        <v>58206.418180699926</v>
      </c>
      <c r="BO38" s="14">
        <f t="shared" si="10"/>
        <v>-544.77276210009586</v>
      </c>
      <c r="BP38" s="14">
        <f t="shared" si="10"/>
        <v>1393.1429361001356</v>
      </c>
      <c r="BQ38" s="14">
        <f t="shared" si="10"/>
        <v>531.94319909997284</v>
      </c>
      <c r="BR38" s="14">
        <f t="shared" si="10"/>
        <v>177.33362930000294</v>
      </c>
      <c r="BS38" s="14">
        <f t="shared" si="10"/>
        <v>127569.19569730002</v>
      </c>
      <c r="BT38" s="14">
        <f t="shared" si="10"/>
        <v>203.50631620013155</v>
      </c>
      <c r="BU38" s="14">
        <f t="shared" si="10"/>
        <v>1445.4685409995727</v>
      </c>
      <c r="BV38" s="14">
        <f t="shared" si="4"/>
        <v>204570.02483689995</v>
      </c>
      <c r="BW38" s="14">
        <f t="shared" si="10"/>
        <v>203.73265769984573</v>
      </c>
      <c r="BX38" s="14">
        <f t="shared" si="10"/>
        <v>-269148.77072689973</v>
      </c>
      <c r="BY38" s="14">
        <f t="shared" si="10"/>
        <v>150.67623919970356</v>
      </c>
      <c r="BZ38" s="14">
        <f t="shared" si="10"/>
        <v>651.96999620017596</v>
      </c>
      <c r="CA38" s="14">
        <f t="shared" si="10"/>
        <v>452.41618960001506</v>
      </c>
      <c r="CB38" s="14">
        <f t="shared" si="10"/>
        <v>150.8247749999864</v>
      </c>
      <c r="CC38" s="14">
        <f t="shared" si="10"/>
        <v>-40530.148448199965</v>
      </c>
      <c r="CD38" s="14">
        <f t="shared" si="10"/>
        <v>-8949.6707725999877</v>
      </c>
      <c r="CE38" s="14">
        <f t="shared" si="10"/>
        <v>-11477.288754399982</v>
      </c>
      <c r="CF38" s="14">
        <f t="shared" si="10"/>
        <v>18671.135227999999</v>
      </c>
      <c r="CG38" s="14">
        <f t="shared" si="10"/>
        <v>9015.4960295000346</v>
      </c>
      <c r="CH38" s="14">
        <f t="shared" si="10"/>
        <v>253187.53035630006</v>
      </c>
      <c r="CI38" s="14">
        <f t="shared" si="10"/>
        <v>192.92652529990301</v>
      </c>
      <c r="CJ38" s="14">
        <f t="shared" si="10"/>
        <v>1120.0322037001606</v>
      </c>
      <c r="CK38" s="14">
        <f t="shared" si="10"/>
        <v>-12064.51240090013</v>
      </c>
      <c r="CL38" s="14">
        <f t="shared" si="10"/>
        <v>1451.3907292999793</v>
      </c>
      <c r="CM38" s="14">
        <f t="shared" si="10"/>
        <v>80403.925462099956</v>
      </c>
      <c r="CN38" s="14">
        <f t="shared" si="10"/>
        <v>792.17918969970196</v>
      </c>
      <c r="CO38" s="14">
        <f t="shared" si="10"/>
        <v>622.32593070040457</v>
      </c>
      <c r="CP38" s="14">
        <f t="shared" si="10"/>
        <v>207.45986759988591</v>
      </c>
      <c r="CQ38" s="14">
        <f t="shared" si="5"/>
        <v>-205791.74786249979</v>
      </c>
      <c r="CR38" s="14">
        <f t="shared" si="10"/>
        <v>325.65182589995675</v>
      </c>
      <c r="CS38" s="14">
        <f t="shared" si="10"/>
        <v>-2511.8865797001636</v>
      </c>
      <c r="CT38" s="14">
        <f t="shared" si="10"/>
        <v>3640.1498378001852</v>
      </c>
      <c r="CU38" s="14">
        <f t="shared" si="10"/>
        <v>-154627.28925330006</v>
      </c>
      <c r="CV38" s="14">
        <f t="shared" si="10"/>
        <v>-17409.29933260032</v>
      </c>
      <c r="CW38" s="14">
        <f t="shared" si="10"/>
        <v>603.66167180018965</v>
      </c>
      <c r="CX38" s="14">
        <f t="shared" si="10"/>
        <v>-7823.6452305997955</v>
      </c>
      <c r="CY38" s="14">
        <f t="shared" si="10"/>
        <v>313720.32481459994</v>
      </c>
      <c r="CZ38" s="14">
        <f t="shared" si="10"/>
        <v>189.05942149995826</v>
      </c>
      <c r="DA38" s="14">
        <f t="shared" si="10"/>
        <v>379.05523099994753</v>
      </c>
      <c r="DB38" s="14">
        <f t="shared" si="10"/>
        <v>567.36977889994159</v>
      </c>
      <c r="DC38" s="14">
        <f t="shared" si="10"/>
        <v>189.14094210020266</v>
      </c>
      <c r="DD38" s="14">
        <f t="shared" si="10"/>
        <v>-160789.86893920007</v>
      </c>
      <c r="DE38" s="14">
        <f t="shared" si="10"/>
        <v>76.138478399952874</v>
      </c>
      <c r="DF38" s="14">
        <f t="shared" si="10"/>
        <v>2399.590336299967</v>
      </c>
      <c r="DG38" s="14">
        <f t="shared" si="10"/>
        <v>6256.9847500001779</v>
      </c>
      <c r="DH38" s="14">
        <f t="shared" si="10"/>
        <v>9110.8574440998491</v>
      </c>
      <c r="DI38" s="14">
        <f t="shared" si="10"/>
        <v>70407.170437400113</v>
      </c>
      <c r="DJ38" s="14">
        <f t="shared" si="6"/>
        <v>65053.90452319989</v>
      </c>
      <c r="DK38" s="14">
        <f t="shared" si="10"/>
        <v>350.77632719988469</v>
      </c>
      <c r="DL38" s="14">
        <f t="shared" si="10"/>
        <v>175.40221369999927</v>
      </c>
      <c r="DM38" s="14">
        <f t="shared" si="10"/>
        <v>-135565.37972339988</v>
      </c>
      <c r="DN38" s="14">
        <f t="shared" si="10"/>
        <v>149.72676329989918</v>
      </c>
      <c r="DO38" s="14">
        <f t="shared" si="10"/>
        <v>149.73612390004564</v>
      </c>
      <c r="DP38" s="14">
        <f t="shared" si="10"/>
        <v>-59559.365512500051</v>
      </c>
      <c r="DQ38" s="14">
        <f t="shared" si="10"/>
        <v>136.53446059999987</v>
      </c>
      <c r="DR38" s="14">
        <f t="shared" si="10"/>
        <v>-60525.986405499978</v>
      </c>
      <c r="DS38" s="14">
        <f t="shared" si="10"/>
        <v>126.65749390004203</v>
      </c>
      <c r="DT38" s="14">
        <f t="shared" si="10"/>
        <v>-9874.7714849001495</v>
      </c>
      <c r="DU38" s="14">
        <f t="shared" si="10"/>
        <v>-14723.073071399936</v>
      </c>
      <c r="DV38" s="14">
        <f t="shared" si="10"/>
        <v>-54547.587870299933</v>
      </c>
      <c r="DW38" s="14">
        <f t="shared" si="10"/>
        <v>222115.72705769993</v>
      </c>
      <c r="DX38" s="14">
        <f t="shared" si="10"/>
        <v>154.27981260011438</v>
      </c>
      <c r="DY38" s="14">
        <f t="shared" si="10"/>
        <v>135.73934370011557</v>
      </c>
      <c r="DZ38" s="14">
        <f t="shared" si="10"/>
        <v>462.91357329976745</v>
      </c>
      <c r="EA38" s="14">
        <f t="shared" si="10"/>
        <v>397.32992600009311</v>
      </c>
      <c r="EB38" s="14">
        <f t="shared" si="10"/>
        <v>330789.93287419993</v>
      </c>
      <c r="EC38" s="14">
        <f t="shared" si="10"/>
        <v>1949.2112852998544</v>
      </c>
      <c r="ED38" s="14">
        <f t="shared" si="10"/>
        <v>1079.297050600173</v>
      </c>
      <c r="EE38" s="14">
        <f t="shared" si="7"/>
        <v>226707.03052649985</v>
      </c>
      <c r="EF38" s="14">
        <f t="shared" si="10"/>
        <v>142.59980780025944</v>
      </c>
    </row>
    <row r="39" spans="1:136" x14ac:dyDescent="0.3">
      <c r="A39" s="2" t="s">
        <v>17</v>
      </c>
      <c r="B39" s="14"/>
      <c r="C39" s="14">
        <f t="shared" si="0"/>
        <v>-50370.300723999972</v>
      </c>
      <c r="D39" s="14">
        <f t="shared" ref="D39:EF39" si="11">D11-C11</f>
        <v>5074.7103159999824</v>
      </c>
      <c r="E39" s="14">
        <f t="shared" si="11"/>
        <v>175386.89899999998</v>
      </c>
      <c r="F39" s="14">
        <f t="shared" si="11"/>
        <v>2107.5911170000909</v>
      </c>
      <c r="G39" s="14">
        <f t="shared" si="11"/>
        <v>-97398.683235000062</v>
      </c>
      <c r="H39" s="14">
        <f t="shared" si="11"/>
        <v>196353.65069500008</v>
      </c>
      <c r="I39" s="14">
        <f t="shared" si="11"/>
        <v>-171524.16789300006</v>
      </c>
      <c r="J39" s="14">
        <f t="shared" si="11"/>
        <v>20278.748666999978</v>
      </c>
      <c r="K39" s="14">
        <f t="shared" si="11"/>
        <v>167850.91402500006</v>
      </c>
      <c r="L39" s="14">
        <f t="shared" si="11"/>
        <v>-223053.63477600005</v>
      </c>
      <c r="M39" s="14">
        <f t="shared" si="11"/>
        <v>-44874.336375999963</v>
      </c>
      <c r="N39" s="14">
        <f t="shared" si="11"/>
        <v>321080.20861499989</v>
      </c>
      <c r="O39" s="14">
        <f t="shared" si="11"/>
        <v>-412781.90015499992</v>
      </c>
      <c r="P39" s="14">
        <f t="shared" si="11"/>
        <v>-12828.344075000001</v>
      </c>
      <c r="Q39" s="14">
        <f t="shared" si="11"/>
        <v>-9671.6559249999991</v>
      </c>
      <c r="R39" s="14">
        <f t="shared" si="11"/>
        <v>-957.18313299998408</v>
      </c>
      <c r="S39" s="14">
        <f t="shared" si="11"/>
        <v>42.816870999988168</v>
      </c>
      <c r="T39" s="14">
        <f t="shared" si="11"/>
        <v>128.4506049999909</v>
      </c>
      <c r="U39" s="14">
        <f t="shared" si="11"/>
        <v>42.816867000015918</v>
      </c>
      <c r="V39" s="14">
        <f t="shared" si="11"/>
        <v>264743.09878999996</v>
      </c>
      <c r="W39" s="14">
        <f t="shared" si="11"/>
        <v>95.378366999968421</v>
      </c>
      <c r="X39" s="14">
        <f t="shared" si="11"/>
        <v>95.378367000084836</v>
      </c>
      <c r="Y39" s="14">
        <f t="shared" si="11"/>
        <v>286.13510199997108</v>
      </c>
      <c r="Z39" s="14">
        <f t="shared" si="11"/>
        <v>95.378370999998879</v>
      </c>
      <c r="AA39" s="14">
        <f t="shared" si="11"/>
        <v>86927.729792999977</v>
      </c>
      <c r="AB39" s="14">
        <f t="shared" si="11"/>
        <v>-6689.5551589999814</v>
      </c>
      <c r="AC39" s="14">
        <f t="shared" si="11"/>
        <v>14410.444837999996</v>
      </c>
      <c r="AD39" s="14">
        <f t="shared" si="11"/>
        <v>343.29109600000083</v>
      </c>
      <c r="AE39" s="14">
        <f t="shared" si="11"/>
        <v>-30564.180775000015</v>
      </c>
      <c r="AF39" s="14">
        <f t="shared" si="11"/>
        <v>108.42057900002692</v>
      </c>
      <c r="AG39" s="14">
        <f t="shared" si="2"/>
        <v>-106065.05899599986</v>
      </c>
      <c r="AH39" s="14">
        <f t="shared" si="11"/>
        <v>325.26173899997957</v>
      </c>
      <c r="AI39" s="14">
        <f t="shared" si="11"/>
        <v>108.42057799990289</v>
      </c>
      <c r="AJ39" s="14">
        <f t="shared" si="11"/>
        <v>-650.52347599994391</v>
      </c>
      <c r="AK39" s="14">
        <f t="shared" si="11"/>
        <v>104.94539300003089</v>
      </c>
      <c r="AL39" s="14">
        <f t="shared" si="11"/>
        <v>104.94539100001566</v>
      </c>
      <c r="AM39" s="14">
        <f t="shared" si="11"/>
        <v>314.83617699996103</v>
      </c>
      <c r="AN39" s="14">
        <f t="shared" si="11"/>
        <v>104.94538900000043</v>
      </c>
      <c r="AO39" s="14">
        <f t="shared" si="11"/>
        <v>14370.327649999992</v>
      </c>
      <c r="AP39" s="14">
        <f t="shared" si="11"/>
        <v>107.60934800002724</v>
      </c>
      <c r="AQ39" s="14">
        <f t="shared" si="11"/>
        <v>107.6093520000577</v>
      </c>
      <c r="AR39" s="14">
        <f t="shared" si="11"/>
        <v>322.82804799999576</v>
      </c>
      <c r="AS39" s="14">
        <f t="shared" si="11"/>
        <v>107.60935099993367</v>
      </c>
      <c r="AT39" s="14">
        <f t="shared" si="11"/>
        <v>2354.3439009999856</v>
      </c>
      <c r="AU39" s="14">
        <f t="shared" si="11"/>
        <v>-2892.3438290000195</v>
      </c>
      <c r="AV39" s="14">
        <f t="shared" si="11"/>
        <v>50107.656176000019</v>
      </c>
      <c r="AW39" s="14">
        <f t="shared" si="11"/>
        <v>351.82254299998749</v>
      </c>
      <c r="AX39" s="14">
        <f t="shared" si="11"/>
        <v>117.2741859999951</v>
      </c>
      <c r="AY39" s="14">
        <f t="shared" si="11"/>
        <v>-35684.409075999982</v>
      </c>
      <c r="AZ39" s="14">
        <f t="shared" si="11"/>
        <v>110.73515600000974</v>
      </c>
      <c r="BA39" s="14">
        <f t="shared" si="3"/>
        <v>30004.629154999973</v>
      </c>
      <c r="BB39" s="14">
        <f t="shared" si="11"/>
        <v>332.20546599989757</v>
      </c>
      <c r="BC39" s="14">
        <f t="shared" si="11"/>
        <v>110.73516000015661</v>
      </c>
      <c r="BD39" s="14">
        <f t="shared" si="11"/>
        <v>14335.589059999911</v>
      </c>
      <c r="BE39" s="14">
        <f t="shared" si="11"/>
        <v>113.61386799998581</v>
      </c>
      <c r="BF39" s="14">
        <f t="shared" si="11"/>
        <v>113.61386099993251</v>
      </c>
      <c r="BG39" s="14">
        <f t="shared" si="11"/>
        <v>340.84159300010651</v>
      </c>
      <c r="BH39" s="14">
        <f t="shared" si="11"/>
        <v>113.61386399995536</v>
      </c>
      <c r="BI39" s="14">
        <f t="shared" si="11"/>
        <v>-30681.68318599998</v>
      </c>
      <c r="BJ39" s="14">
        <f t="shared" si="11"/>
        <v>107.75868499989156</v>
      </c>
      <c r="BK39" s="14">
        <f t="shared" si="11"/>
        <v>107.758686000132</v>
      </c>
      <c r="BL39" s="14">
        <f t="shared" si="11"/>
        <v>323.27605300000869</v>
      </c>
      <c r="BM39" s="14">
        <f t="shared" si="11"/>
        <v>38607.758686999907</v>
      </c>
      <c r="BN39" s="14">
        <f t="shared" si="11"/>
        <v>45853.447889000061</v>
      </c>
      <c r="BO39" s="14">
        <f t="shared" si="11"/>
        <v>124.19825000001583</v>
      </c>
      <c r="BP39" s="14">
        <f t="shared" si="11"/>
        <v>124.19825499993749</v>
      </c>
      <c r="BQ39" s="14">
        <f t="shared" si="11"/>
        <v>372.59475600009318</v>
      </c>
      <c r="BR39" s="14">
        <f t="shared" si="11"/>
        <v>124.19825000001583</v>
      </c>
      <c r="BS39" s="14">
        <f t="shared" si="11"/>
        <v>127554.81048899994</v>
      </c>
      <c r="BT39" s="14">
        <f t="shared" si="11"/>
        <v>150.35900100006256</v>
      </c>
      <c r="BU39" s="14">
        <f t="shared" si="11"/>
        <v>150.35901000001468</v>
      </c>
      <c r="BV39" s="14">
        <f t="shared" si="4"/>
        <v>198830.32471299986</v>
      </c>
      <c r="BW39" s="14">
        <f t="shared" si="11"/>
        <v>150.35900800011586</v>
      </c>
      <c r="BX39" s="14">
        <f t="shared" si="11"/>
        <v>-269202.15403500001</v>
      </c>
      <c r="BY39" s="14">
        <f t="shared" si="11"/>
        <v>97.283272000029683</v>
      </c>
      <c r="BZ39" s="14">
        <f t="shared" si="11"/>
        <v>97.283277999958955</v>
      </c>
      <c r="CA39" s="14">
        <f t="shared" si="11"/>
        <v>291.84981699998025</v>
      </c>
      <c r="CB39" s="14">
        <f t="shared" si="11"/>
        <v>97.283275000052527</v>
      </c>
      <c r="CC39" s="14">
        <f t="shared" si="11"/>
        <v>-40583.699642000021</v>
      </c>
      <c r="CD39" s="14">
        <f t="shared" si="11"/>
        <v>89.426220000023022</v>
      </c>
      <c r="CE39" s="14">
        <f t="shared" si="11"/>
        <v>89.426221999921836</v>
      </c>
      <c r="CF39" s="14">
        <f t="shared" si="11"/>
        <v>15268.278658000054</v>
      </c>
      <c r="CG39" s="14">
        <f t="shared" si="11"/>
        <v>15089.426223999995</v>
      </c>
      <c r="CH39" s="14">
        <f t="shared" si="11"/>
        <v>238263.44267600001</v>
      </c>
      <c r="CI39" s="14">
        <f t="shared" si="11"/>
        <v>140.97919000010006</v>
      </c>
      <c r="CJ39" s="14">
        <f t="shared" si="11"/>
        <v>140.97919099999126</v>
      </c>
      <c r="CK39" s="14">
        <f t="shared" si="11"/>
        <v>422.93757099995855</v>
      </c>
      <c r="CL39" s="14">
        <f t="shared" si="11"/>
        <v>140.97919099999126</v>
      </c>
      <c r="CM39" s="14">
        <f t="shared" si="11"/>
        <v>80354.124856999959</v>
      </c>
      <c r="CN39" s="14">
        <f t="shared" si="11"/>
        <v>315.09913300001062</v>
      </c>
      <c r="CO39" s="14">
        <f t="shared" si="11"/>
        <v>472.64870200003497</v>
      </c>
      <c r="CP39" s="14">
        <f t="shared" si="11"/>
        <v>157.54956399998628</v>
      </c>
      <c r="CQ39" s="14">
        <f t="shared" si="5"/>
        <v>-189051.7950269999</v>
      </c>
      <c r="CR39" s="14">
        <f t="shared" si="11"/>
        <v>225.78645400004461</v>
      </c>
      <c r="CS39" s="14">
        <f t="shared" si="11"/>
        <v>338.67968399997335</v>
      </c>
      <c r="CT39" s="14">
        <f t="shared" si="11"/>
        <v>112.89322500000708</v>
      </c>
      <c r="CU39" s="14">
        <f t="shared" si="11"/>
        <v>-154677.35936300003</v>
      </c>
      <c r="CV39" s="14">
        <f t="shared" si="11"/>
        <v>-15919.598083999997</v>
      </c>
      <c r="CW39" s="14">
        <f t="shared" si="11"/>
        <v>6321.6076790000079</v>
      </c>
      <c r="CX39" s="14">
        <f t="shared" si="11"/>
        <v>14580.401918999967</v>
      </c>
      <c r="CY39" s="14">
        <f t="shared" si="11"/>
        <v>289017.58848600002</v>
      </c>
      <c r="CZ39" s="14">
        <f t="shared" si="11"/>
        <v>139.85981599998195</v>
      </c>
      <c r="DA39" s="14">
        <f t="shared" si="11"/>
        <v>139.85981799999718</v>
      </c>
      <c r="DB39" s="14">
        <f t="shared" si="11"/>
        <v>419.57944699993823</v>
      </c>
      <c r="DC39" s="14">
        <f t="shared" si="11"/>
        <v>139.85981900000479</v>
      </c>
      <c r="DD39" s="14">
        <f t="shared" si="11"/>
        <v>-160839.15889999992</v>
      </c>
      <c r="DE39" s="14">
        <f t="shared" si="11"/>
        <v>109.43477799999528</v>
      </c>
      <c r="DF39" s="14">
        <f t="shared" si="11"/>
        <v>109.43477400008123</v>
      </c>
      <c r="DG39" s="14">
        <f t="shared" si="11"/>
        <v>328.30433099996299</v>
      </c>
      <c r="DH39" s="14">
        <f t="shared" si="11"/>
        <v>4109.4347769998712</v>
      </c>
      <c r="DI39" s="14">
        <f t="shared" si="11"/>
        <v>70343.391340000089</v>
      </c>
      <c r="DJ39" s="14">
        <f t="shared" si="6"/>
        <v>55246.930434999987</v>
      </c>
      <c r="DK39" s="14">
        <f t="shared" si="11"/>
        <v>246.9304289999418</v>
      </c>
      <c r="DL39" s="14">
        <f t="shared" si="11"/>
        <v>123.46521900000516</v>
      </c>
      <c r="DM39" s="14">
        <f t="shared" si="11"/>
        <v>-135617.32608299993</v>
      </c>
      <c r="DN39" s="14">
        <f t="shared" si="11"/>
        <v>97.771033999975771</v>
      </c>
      <c r="DO39" s="14">
        <f t="shared" si="11"/>
        <v>97.771027999988291</v>
      </c>
      <c r="DP39" s="14">
        <f t="shared" si="11"/>
        <v>293.31309700000565</v>
      </c>
      <c r="DQ39" s="14">
        <f t="shared" si="11"/>
        <v>97.771031000011135</v>
      </c>
      <c r="DR39" s="14">
        <f t="shared" si="11"/>
        <v>-120586.62618999998</v>
      </c>
      <c r="DS39" s="14">
        <f t="shared" si="11"/>
        <v>74.638464999967255</v>
      </c>
      <c r="DT39" s="14">
        <f t="shared" si="11"/>
        <v>74.638464000076056</v>
      </c>
      <c r="DU39" s="14">
        <f t="shared" si="11"/>
        <v>223.91539499995997</v>
      </c>
      <c r="DV39" s="14">
        <f t="shared" si="11"/>
        <v>74.638460999995004</v>
      </c>
      <c r="DW39" s="14">
        <f t="shared" si="11"/>
        <v>142252.169215</v>
      </c>
      <c r="DX39" s="14">
        <f t="shared" si="11"/>
        <v>102.1906650000019</v>
      </c>
      <c r="DY39" s="14">
        <f t="shared" si="11"/>
        <v>102.19067100004759</v>
      </c>
      <c r="DZ39" s="14">
        <f t="shared" si="11"/>
        <v>306.57199499988928</v>
      </c>
      <c r="EA39" s="14">
        <f t="shared" si="11"/>
        <v>102.19066199997906</v>
      </c>
      <c r="EB39" s="14">
        <f t="shared" si="11"/>
        <v>334387.75865800015</v>
      </c>
      <c r="EC39" s="14">
        <f t="shared" si="11"/>
        <v>167.30508700001519</v>
      </c>
      <c r="ED39" s="14">
        <f t="shared" si="11"/>
        <v>167.30508599989116</v>
      </c>
      <c r="EE39" s="14">
        <f t="shared" si="7"/>
        <v>223290.49765399995</v>
      </c>
      <c r="EF39" s="14">
        <f t="shared" si="11"/>
        <v>167.30508700001519</v>
      </c>
    </row>
    <row r="40" spans="1:136" x14ac:dyDescent="0.3">
      <c r="A40" s="2" t="s">
        <v>22</v>
      </c>
      <c r="B40" s="14"/>
      <c r="C40" s="14">
        <f t="shared" si="0"/>
        <v>19703.07854800002</v>
      </c>
      <c r="D40" s="14">
        <f t="shared" ref="D40:EF40" si="12">D12-C12</f>
        <v>5074.7103159999824</v>
      </c>
      <c r="E40" s="14">
        <f t="shared" si="12"/>
        <v>100315.49646600004</v>
      </c>
      <c r="F40" s="14">
        <f t="shared" si="12"/>
        <v>70178.993650999968</v>
      </c>
      <c r="G40" s="14">
        <f t="shared" si="12"/>
        <v>-115404.43869899999</v>
      </c>
      <c r="H40" s="14">
        <f t="shared" si="12"/>
        <v>85239.108966999978</v>
      </c>
      <c r="I40" s="14">
        <f t="shared" si="12"/>
        <v>-35403.870700999978</v>
      </c>
      <c r="J40" s="14">
        <f t="shared" si="12"/>
        <v>20278.748666999978</v>
      </c>
      <c r="K40" s="14">
        <f t="shared" si="12"/>
        <v>-39863.920331999951</v>
      </c>
      <c r="L40" s="14">
        <f t="shared" si="12"/>
        <v>-85352.915913000004</v>
      </c>
      <c r="M40" s="14">
        <f t="shared" si="12"/>
        <v>25139.779118000006</v>
      </c>
      <c r="N40" s="14">
        <f t="shared" si="12"/>
        <v>135364.71648399998</v>
      </c>
      <c r="O40" s="14">
        <f t="shared" si="12"/>
        <v>-465566.408024</v>
      </c>
      <c r="P40" s="14">
        <f t="shared" si="12"/>
        <v>0</v>
      </c>
      <c r="Q40" s="14">
        <f t="shared" si="12"/>
        <v>215000</v>
      </c>
      <c r="R40" s="14">
        <f t="shared" si="12"/>
        <v>42.816866999986814</v>
      </c>
      <c r="S40" s="14">
        <f t="shared" si="12"/>
        <v>42.816871000017272</v>
      </c>
      <c r="T40" s="14">
        <f t="shared" si="12"/>
        <v>128.4506049999909</v>
      </c>
      <c r="U40" s="14">
        <f t="shared" si="12"/>
        <v>42.816867000015918</v>
      </c>
      <c r="V40" s="14">
        <f t="shared" si="12"/>
        <v>264743.09878999996</v>
      </c>
      <c r="W40" s="14">
        <f t="shared" si="12"/>
        <v>95.378367000026628</v>
      </c>
      <c r="X40" s="14">
        <f t="shared" si="12"/>
        <v>95.378366999968421</v>
      </c>
      <c r="Y40" s="14">
        <f t="shared" si="12"/>
        <v>286.13510200002929</v>
      </c>
      <c r="Z40" s="14">
        <f t="shared" si="12"/>
        <v>95.378370999998879</v>
      </c>
      <c r="AA40" s="14">
        <f t="shared" si="12"/>
        <v>74427.729792999977</v>
      </c>
      <c r="AB40" s="14">
        <f t="shared" si="12"/>
        <v>110.44484100001864</v>
      </c>
      <c r="AC40" s="14">
        <f t="shared" si="12"/>
        <v>110.4448379999958</v>
      </c>
      <c r="AD40" s="14">
        <f t="shared" si="12"/>
        <v>331.33451800001785</v>
      </c>
      <c r="AE40" s="14">
        <f t="shared" si="12"/>
        <v>-10552.224197000032</v>
      </c>
      <c r="AF40" s="14">
        <f t="shared" si="12"/>
        <v>108.42057900002692</v>
      </c>
      <c r="AG40" s="14">
        <f t="shared" si="2"/>
        <v>79650.433134999941</v>
      </c>
      <c r="AH40" s="14">
        <f t="shared" si="12"/>
        <v>325.26173900009599</v>
      </c>
      <c r="AI40" s="14">
        <f t="shared" si="12"/>
        <v>108.42057799990289</v>
      </c>
      <c r="AJ40" s="14">
        <f t="shared" si="12"/>
        <v>-650.52347599994391</v>
      </c>
      <c r="AK40" s="14">
        <f t="shared" si="12"/>
        <v>104.94539300003089</v>
      </c>
      <c r="AL40" s="14">
        <f t="shared" si="12"/>
        <v>104.94539100001566</v>
      </c>
      <c r="AM40" s="14">
        <f t="shared" si="12"/>
        <v>314.83617699996103</v>
      </c>
      <c r="AN40" s="14">
        <f t="shared" si="12"/>
        <v>104.94538900000043</v>
      </c>
      <c r="AO40" s="14">
        <f t="shared" si="12"/>
        <v>14370.327649999992</v>
      </c>
      <c r="AP40" s="14">
        <f t="shared" si="12"/>
        <v>107.60934800002724</v>
      </c>
      <c r="AQ40" s="14">
        <f t="shared" si="12"/>
        <v>107.60935199994128</v>
      </c>
      <c r="AR40" s="14">
        <f t="shared" si="12"/>
        <v>322.82804799999576</v>
      </c>
      <c r="AS40" s="14">
        <f t="shared" si="12"/>
        <v>107.60935100005008</v>
      </c>
      <c r="AT40" s="14">
        <f t="shared" si="12"/>
        <v>-645.65609900001436</v>
      </c>
      <c r="AU40" s="14">
        <f t="shared" si="12"/>
        <v>107.65617099998053</v>
      </c>
      <c r="AV40" s="14">
        <f t="shared" si="12"/>
        <v>107.6561760000186</v>
      </c>
      <c r="AW40" s="14">
        <f t="shared" si="12"/>
        <v>322.96851000003517</v>
      </c>
      <c r="AX40" s="14">
        <f t="shared" si="12"/>
        <v>107.65617500001099</v>
      </c>
      <c r="AY40" s="14">
        <f t="shared" si="12"/>
        <v>14354.062967999955</v>
      </c>
      <c r="AZ40" s="14">
        <f t="shared" si="12"/>
        <v>110.73515600000974</v>
      </c>
      <c r="BA40" s="14">
        <f t="shared" si="3"/>
        <v>30004.62915500009</v>
      </c>
      <c r="BB40" s="14">
        <f t="shared" si="12"/>
        <v>332.20546600001398</v>
      </c>
      <c r="BC40" s="14">
        <f t="shared" si="12"/>
        <v>110.73515999992378</v>
      </c>
      <c r="BD40" s="14">
        <f t="shared" si="12"/>
        <v>14335.589060000028</v>
      </c>
      <c r="BE40" s="14">
        <f t="shared" si="12"/>
        <v>113.61386799998581</v>
      </c>
      <c r="BF40" s="14">
        <f t="shared" si="12"/>
        <v>113.61386100004893</v>
      </c>
      <c r="BG40" s="14">
        <f t="shared" si="12"/>
        <v>340.8415929999901</v>
      </c>
      <c r="BH40" s="14">
        <f t="shared" si="12"/>
        <v>113.61386399995536</v>
      </c>
      <c r="BI40" s="14">
        <f t="shared" si="12"/>
        <v>-30681.68318599998</v>
      </c>
      <c r="BJ40" s="14">
        <f t="shared" si="12"/>
        <v>107.75868500000797</v>
      </c>
      <c r="BK40" s="14">
        <f t="shared" si="12"/>
        <v>107.75868600001559</v>
      </c>
      <c r="BL40" s="14">
        <f t="shared" si="12"/>
        <v>323.27605300000869</v>
      </c>
      <c r="BM40" s="14">
        <f t="shared" si="12"/>
        <v>107.7586870000232</v>
      </c>
      <c r="BN40" s="14">
        <f t="shared" si="12"/>
        <v>84353.447888999945</v>
      </c>
      <c r="BO40" s="14">
        <f t="shared" si="12"/>
        <v>124.19825000001583</v>
      </c>
      <c r="BP40" s="14">
        <f t="shared" si="12"/>
        <v>124.19825499993749</v>
      </c>
      <c r="BQ40" s="14">
        <f t="shared" si="12"/>
        <v>372.59475600009318</v>
      </c>
      <c r="BR40" s="14">
        <f t="shared" si="12"/>
        <v>124.19824999989942</v>
      </c>
      <c r="BS40" s="14">
        <f t="shared" si="12"/>
        <v>-45745.189510999946</v>
      </c>
      <c r="BT40" s="14">
        <f t="shared" si="12"/>
        <v>117.37237500003539</v>
      </c>
      <c r="BU40" s="14">
        <f t="shared" si="12"/>
        <v>117.37237799994182</v>
      </c>
      <c r="BV40" s="14">
        <f t="shared" si="4"/>
        <v>25365.391573000001</v>
      </c>
      <c r="BW40" s="14">
        <f t="shared" si="12"/>
        <v>117.37237899994943</v>
      </c>
      <c r="BX40" s="14">
        <f t="shared" si="12"/>
        <v>-95704.234265999985</v>
      </c>
      <c r="BY40" s="14">
        <f t="shared" si="12"/>
        <v>97.283271999971475</v>
      </c>
      <c r="BZ40" s="14">
        <f t="shared" si="12"/>
        <v>97.283278000017162</v>
      </c>
      <c r="CA40" s="14">
        <f t="shared" si="12"/>
        <v>291.84981700003846</v>
      </c>
      <c r="CB40" s="14">
        <f t="shared" si="12"/>
        <v>97.283274999994319</v>
      </c>
      <c r="CC40" s="14">
        <f t="shared" si="12"/>
        <v>-40583.699642000021</v>
      </c>
      <c r="CD40" s="14">
        <f t="shared" si="12"/>
        <v>89.426220000023022</v>
      </c>
      <c r="CE40" s="14">
        <f t="shared" si="12"/>
        <v>89.426221999980044</v>
      </c>
      <c r="CF40" s="14">
        <f t="shared" si="12"/>
        <v>268.27865799999563</v>
      </c>
      <c r="CG40" s="14">
        <f t="shared" si="12"/>
        <v>89.426223999995273</v>
      </c>
      <c r="CH40" s="14">
        <f t="shared" si="12"/>
        <v>99463.442676000006</v>
      </c>
      <c r="CI40" s="14">
        <f t="shared" si="12"/>
        <v>109.27495800005272</v>
      </c>
      <c r="CJ40" s="14">
        <f t="shared" si="12"/>
        <v>109.2749579999363</v>
      </c>
      <c r="CK40" s="14">
        <f t="shared" si="12"/>
        <v>327.82487200002652</v>
      </c>
      <c r="CL40" s="14">
        <f t="shared" si="12"/>
        <v>109.2749579999363</v>
      </c>
      <c r="CM40" s="14">
        <f t="shared" si="12"/>
        <v>49344.350254000048</v>
      </c>
      <c r="CN40" s="14">
        <f t="shared" si="12"/>
        <v>238.72057899995707</v>
      </c>
      <c r="CO40" s="14">
        <f t="shared" si="12"/>
        <v>358.08087300008629</v>
      </c>
      <c r="CP40" s="14">
        <f t="shared" si="12"/>
        <v>119.36028799996711</v>
      </c>
      <c r="CQ40" s="14">
        <f t="shared" si="5"/>
        <v>-115586.86188700004</v>
      </c>
      <c r="CR40" s="14">
        <f t="shared" si="12"/>
        <v>188.00287700002082</v>
      </c>
      <c r="CS40" s="14">
        <f t="shared" si="12"/>
        <v>282.00431599997682</v>
      </c>
      <c r="CT40" s="14">
        <f t="shared" si="12"/>
        <v>94.001435999991372</v>
      </c>
      <c r="CU40" s="14">
        <f t="shared" si="12"/>
        <v>-70564.008628999989</v>
      </c>
      <c r="CV40" s="14">
        <f t="shared" si="12"/>
        <v>80.401916000002529</v>
      </c>
      <c r="CW40" s="14">
        <f t="shared" si="12"/>
        <v>321.60767900000792</v>
      </c>
      <c r="CX40" s="14">
        <f t="shared" si="12"/>
        <v>80.401918999967165</v>
      </c>
      <c r="CY40" s="14">
        <f t="shared" si="12"/>
        <v>184517.58848600002</v>
      </c>
      <c r="CZ40" s="14">
        <f t="shared" si="12"/>
        <v>116.16283399995882</v>
      </c>
      <c r="DA40" s="14">
        <f t="shared" si="12"/>
        <v>116.16283100005239</v>
      </c>
      <c r="DB40" s="14">
        <f t="shared" si="12"/>
        <v>348.4884969999548</v>
      </c>
      <c r="DC40" s="14">
        <f t="shared" si="12"/>
        <v>116.16283500008285</v>
      </c>
      <c r="DD40" s="14">
        <f t="shared" si="12"/>
        <v>-35696.976997000049</v>
      </c>
      <c r="DE40" s="14">
        <f t="shared" si="12"/>
        <v>109.43477799999528</v>
      </c>
      <c r="DF40" s="14">
        <f t="shared" si="12"/>
        <v>109.43477399996482</v>
      </c>
      <c r="DG40" s="14">
        <f t="shared" si="12"/>
        <v>328.3043310000794</v>
      </c>
      <c r="DH40" s="14">
        <f t="shared" si="12"/>
        <v>109.43477699998766</v>
      </c>
      <c r="DI40" s="14">
        <f t="shared" si="12"/>
        <v>-25656.608660000027</v>
      </c>
      <c r="DJ40" s="14">
        <f t="shared" si="6"/>
        <v>55123.46521699999</v>
      </c>
      <c r="DK40" s="14">
        <f t="shared" si="12"/>
        <v>123.46521499997471</v>
      </c>
      <c r="DL40" s="14">
        <f t="shared" si="12"/>
        <v>61.732609500060789</v>
      </c>
      <c r="DM40" s="14">
        <f t="shared" si="12"/>
        <v>-35308.663041500025</v>
      </c>
      <c r="DN40" s="14">
        <f t="shared" si="12"/>
        <v>97.771033999975771</v>
      </c>
      <c r="DO40" s="14">
        <f t="shared" si="12"/>
        <v>97.771028000046499</v>
      </c>
      <c r="DP40" s="14">
        <f t="shared" si="12"/>
        <v>293.31309700000565</v>
      </c>
      <c r="DQ40" s="14">
        <f t="shared" si="12"/>
        <v>97.771030999952927</v>
      </c>
      <c r="DR40" s="14">
        <f t="shared" si="12"/>
        <v>-120586.62618999998</v>
      </c>
      <c r="DS40" s="14">
        <f t="shared" si="12"/>
        <v>74.638465000025462</v>
      </c>
      <c r="DT40" s="14">
        <f t="shared" si="12"/>
        <v>74.63846399995964</v>
      </c>
      <c r="DU40" s="14">
        <f t="shared" si="12"/>
        <v>223.91539500001818</v>
      </c>
      <c r="DV40" s="14">
        <f t="shared" si="12"/>
        <v>74.638460999995004</v>
      </c>
      <c r="DW40" s="14">
        <f t="shared" si="12"/>
        <v>142252.169215</v>
      </c>
      <c r="DX40" s="14">
        <f t="shared" si="12"/>
        <v>102.1906650000019</v>
      </c>
      <c r="DY40" s="14">
        <f t="shared" si="12"/>
        <v>102.19067100004759</v>
      </c>
      <c r="DZ40" s="14">
        <f t="shared" si="12"/>
        <v>306.5719950000057</v>
      </c>
      <c r="EA40" s="14">
        <f t="shared" si="12"/>
        <v>102.19066199997906</v>
      </c>
      <c r="EB40" s="14">
        <f t="shared" si="12"/>
        <v>96686.856006999966</v>
      </c>
      <c r="EC40" s="14">
        <f t="shared" si="12"/>
        <v>122.30969699996058</v>
      </c>
      <c r="ED40" s="14">
        <f t="shared" si="12"/>
        <v>122.30969500006177</v>
      </c>
      <c r="EE40" s="14">
        <f t="shared" si="7"/>
        <v>85488.083267000038</v>
      </c>
      <c r="EF40" s="14">
        <f t="shared" si="12"/>
        <v>122.30969699996058</v>
      </c>
    </row>
    <row r="41" spans="1:136" x14ac:dyDescent="0.3">
      <c r="A41" s="2" t="s">
        <v>23</v>
      </c>
      <c r="B41" s="14"/>
      <c r="C41" s="14">
        <f t="shared" si="0"/>
        <v>0</v>
      </c>
      <c r="D41" s="14">
        <f t="shared" ref="D41:EF41" si="13">D13-C13</f>
        <v>0</v>
      </c>
      <c r="E41" s="14">
        <f t="shared" si="13"/>
        <v>0</v>
      </c>
      <c r="F41" s="14">
        <f t="shared" si="13"/>
        <v>0</v>
      </c>
      <c r="G41" s="14">
        <f t="shared" si="13"/>
        <v>0</v>
      </c>
      <c r="H41" s="14">
        <f t="shared" si="13"/>
        <v>0</v>
      </c>
      <c r="I41" s="14">
        <f t="shared" si="13"/>
        <v>0</v>
      </c>
      <c r="J41" s="14">
        <f t="shared" si="13"/>
        <v>0</v>
      </c>
      <c r="K41" s="14">
        <f t="shared" si="13"/>
        <v>0</v>
      </c>
      <c r="L41" s="14">
        <f t="shared" si="13"/>
        <v>0</v>
      </c>
      <c r="M41" s="14">
        <f t="shared" si="13"/>
        <v>0</v>
      </c>
      <c r="N41" s="14">
        <f t="shared" si="13"/>
        <v>0</v>
      </c>
      <c r="O41" s="14">
        <f t="shared" si="13"/>
        <v>0</v>
      </c>
      <c r="P41" s="14">
        <f t="shared" si="13"/>
        <v>0</v>
      </c>
      <c r="Q41" s="14">
        <f t="shared" si="13"/>
        <v>0</v>
      </c>
      <c r="R41" s="14">
        <f t="shared" si="13"/>
        <v>0</v>
      </c>
      <c r="S41" s="14">
        <f t="shared" si="13"/>
        <v>0</v>
      </c>
      <c r="T41" s="14">
        <f t="shared" si="13"/>
        <v>0</v>
      </c>
      <c r="U41" s="14">
        <f t="shared" si="13"/>
        <v>0</v>
      </c>
      <c r="V41" s="14">
        <f t="shared" si="13"/>
        <v>0</v>
      </c>
      <c r="W41" s="14">
        <f t="shared" si="13"/>
        <v>0</v>
      </c>
      <c r="X41" s="14">
        <f t="shared" si="13"/>
        <v>0</v>
      </c>
      <c r="Y41" s="14">
        <f t="shared" si="13"/>
        <v>0</v>
      </c>
      <c r="Z41" s="14">
        <f t="shared" si="13"/>
        <v>0</v>
      </c>
      <c r="AA41" s="14">
        <f t="shared" si="13"/>
        <v>0</v>
      </c>
      <c r="AB41" s="14">
        <f t="shared" si="13"/>
        <v>0</v>
      </c>
      <c r="AC41" s="14">
        <f t="shared" si="13"/>
        <v>0</v>
      </c>
      <c r="AD41" s="14">
        <f t="shared" si="13"/>
        <v>0</v>
      </c>
      <c r="AE41" s="14">
        <f t="shared" si="13"/>
        <v>0</v>
      </c>
      <c r="AF41" s="14">
        <f t="shared" si="13"/>
        <v>0</v>
      </c>
      <c r="AG41" s="14">
        <f t="shared" si="2"/>
        <v>0</v>
      </c>
      <c r="AH41" s="14">
        <f t="shared" si="13"/>
        <v>0</v>
      </c>
      <c r="AI41" s="14">
        <f t="shared" si="13"/>
        <v>0</v>
      </c>
      <c r="AJ41" s="14">
        <f t="shared" si="13"/>
        <v>0</v>
      </c>
      <c r="AK41" s="14">
        <f t="shared" si="13"/>
        <v>0</v>
      </c>
      <c r="AL41" s="14">
        <f t="shared" si="13"/>
        <v>0</v>
      </c>
      <c r="AM41" s="14">
        <f t="shared" si="13"/>
        <v>0</v>
      </c>
      <c r="AN41" s="14">
        <f t="shared" si="13"/>
        <v>0</v>
      </c>
      <c r="AO41" s="14">
        <f t="shared" si="13"/>
        <v>0</v>
      </c>
      <c r="AP41" s="14">
        <f t="shared" si="13"/>
        <v>0</v>
      </c>
      <c r="AQ41" s="14">
        <f t="shared" si="13"/>
        <v>0</v>
      </c>
      <c r="AR41" s="14">
        <f t="shared" si="13"/>
        <v>0</v>
      </c>
      <c r="AS41" s="14">
        <f t="shared" si="13"/>
        <v>0</v>
      </c>
      <c r="AT41" s="14">
        <f t="shared" si="13"/>
        <v>0</v>
      </c>
      <c r="AU41" s="14">
        <f t="shared" si="13"/>
        <v>0</v>
      </c>
      <c r="AV41" s="14">
        <f t="shared" si="13"/>
        <v>0</v>
      </c>
      <c r="AW41" s="14">
        <f t="shared" si="13"/>
        <v>0</v>
      </c>
      <c r="AX41" s="14">
        <f t="shared" si="13"/>
        <v>0</v>
      </c>
      <c r="AY41" s="14">
        <f t="shared" si="13"/>
        <v>0</v>
      </c>
      <c r="AZ41" s="14">
        <f t="shared" si="13"/>
        <v>0</v>
      </c>
      <c r="BA41" s="14">
        <f t="shared" si="3"/>
        <v>0</v>
      </c>
      <c r="BB41" s="14">
        <f t="shared" si="13"/>
        <v>0</v>
      </c>
      <c r="BC41" s="14">
        <f t="shared" si="13"/>
        <v>0</v>
      </c>
      <c r="BD41" s="14">
        <f t="shared" si="13"/>
        <v>0</v>
      </c>
      <c r="BE41" s="14">
        <f t="shared" si="13"/>
        <v>0</v>
      </c>
      <c r="BF41" s="14">
        <f t="shared" si="13"/>
        <v>0</v>
      </c>
      <c r="BG41" s="14">
        <f t="shared" si="13"/>
        <v>0</v>
      </c>
      <c r="BH41" s="14">
        <f t="shared" si="13"/>
        <v>0</v>
      </c>
      <c r="BI41" s="14">
        <f t="shared" si="13"/>
        <v>0</v>
      </c>
      <c r="BJ41" s="14">
        <f t="shared" si="13"/>
        <v>0</v>
      </c>
      <c r="BK41" s="14">
        <f t="shared" si="13"/>
        <v>0</v>
      </c>
      <c r="BL41" s="14">
        <f t="shared" si="13"/>
        <v>0</v>
      </c>
      <c r="BM41" s="14">
        <f t="shared" si="13"/>
        <v>0</v>
      </c>
      <c r="BN41" s="14">
        <f t="shared" si="13"/>
        <v>0</v>
      </c>
      <c r="BO41" s="14">
        <f t="shared" si="13"/>
        <v>0</v>
      </c>
      <c r="BP41" s="14">
        <f t="shared" si="13"/>
        <v>0</v>
      </c>
      <c r="BQ41" s="14">
        <f t="shared" si="13"/>
        <v>0</v>
      </c>
      <c r="BR41" s="14">
        <f t="shared" si="13"/>
        <v>0</v>
      </c>
      <c r="BS41" s="14">
        <f t="shared" si="13"/>
        <v>0</v>
      </c>
      <c r="BT41" s="14">
        <f t="shared" si="13"/>
        <v>0</v>
      </c>
      <c r="BU41" s="14">
        <f t="shared" si="13"/>
        <v>0</v>
      </c>
      <c r="BV41" s="14">
        <f t="shared" si="4"/>
        <v>0</v>
      </c>
      <c r="BW41" s="14">
        <f t="shared" si="13"/>
        <v>0</v>
      </c>
      <c r="BX41" s="14">
        <f t="shared" si="13"/>
        <v>0</v>
      </c>
      <c r="BY41" s="14">
        <f t="shared" si="13"/>
        <v>0</v>
      </c>
      <c r="BZ41" s="14">
        <f t="shared" si="13"/>
        <v>0</v>
      </c>
      <c r="CA41" s="14">
        <f t="shared" si="13"/>
        <v>0</v>
      </c>
      <c r="CB41" s="14">
        <f t="shared" si="13"/>
        <v>0</v>
      </c>
      <c r="CC41" s="14">
        <f t="shared" si="13"/>
        <v>0</v>
      </c>
      <c r="CD41" s="14">
        <f t="shared" si="13"/>
        <v>0</v>
      </c>
      <c r="CE41" s="14">
        <f t="shared" si="13"/>
        <v>0</v>
      </c>
      <c r="CF41" s="14">
        <f t="shared" si="13"/>
        <v>0</v>
      </c>
      <c r="CG41" s="14">
        <f t="shared" si="13"/>
        <v>0</v>
      </c>
      <c r="CH41" s="14">
        <f t="shared" si="13"/>
        <v>0</v>
      </c>
      <c r="CI41" s="14">
        <f t="shared" si="13"/>
        <v>0</v>
      </c>
      <c r="CJ41" s="14">
        <f t="shared" si="13"/>
        <v>0</v>
      </c>
      <c r="CK41" s="14">
        <f t="shared" si="13"/>
        <v>0</v>
      </c>
      <c r="CL41" s="14">
        <f t="shared" si="13"/>
        <v>0</v>
      </c>
      <c r="CM41" s="14">
        <f t="shared" si="13"/>
        <v>0</v>
      </c>
      <c r="CN41" s="14">
        <f t="shared" si="13"/>
        <v>0</v>
      </c>
      <c r="CO41" s="14">
        <f t="shared" si="13"/>
        <v>0</v>
      </c>
      <c r="CP41" s="14">
        <f t="shared" si="13"/>
        <v>0</v>
      </c>
      <c r="CQ41" s="14">
        <f t="shared" si="5"/>
        <v>0</v>
      </c>
      <c r="CR41" s="14">
        <f t="shared" si="13"/>
        <v>0</v>
      </c>
      <c r="CS41" s="14">
        <f t="shared" si="13"/>
        <v>0</v>
      </c>
      <c r="CT41" s="14">
        <f t="shared" si="13"/>
        <v>0</v>
      </c>
      <c r="CU41" s="14">
        <f t="shared" si="13"/>
        <v>0</v>
      </c>
      <c r="CV41" s="14">
        <f t="shared" si="13"/>
        <v>0</v>
      </c>
      <c r="CW41" s="14">
        <f t="shared" si="13"/>
        <v>0</v>
      </c>
      <c r="CX41" s="14">
        <f t="shared" si="13"/>
        <v>0</v>
      </c>
      <c r="CY41" s="14">
        <f t="shared" si="13"/>
        <v>0</v>
      </c>
      <c r="CZ41" s="14">
        <f t="shared" si="13"/>
        <v>0</v>
      </c>
      <c r="DA41" s="14">
        <f t="shared" si="13"/>
        <v>0</v>
      </c>
      <c r="DB41" s="14">
        <f t="shared" si="13"/>
        <v>0</v>
      </c>
      <c r="DC41" s="14">
        <f t="shared" si="13"/>
        <v>0</v>
      </c>
      <c r="DD41" s="14">
        <f t="shared" si="13"/>
        <v>0</v>
      </c>
      <c r="DE41" s="14">
        <f t="shared" si="13"/>
        <v>0</v>
      </c>
      <c r="DF41" s="14">
        <f t="shared" si="13"/>
        <v>0</v>
      </c>
      <c r="DG41" s="14">
        <f t="shared" si="13"/>
        <v>0</v>
      </c>
      <c r="DH41" s="14">
        <f t="shared" si="13"/>
        <v>0</v>
      </c>
      <c r="DI41" s="14">
        <f t="shared" si="13"/>
        <v>0</v>
      </c>
      <c r="DJ41" s="14">
        <f t="shared" si="6"/>
        <v>0</v>
      </c>
      <c r="DK41" s="14">
        <f t="shared" si="13"/>
        <v>0</v>
      </c>
      <c r="DL41" s="14">
        <f t="shared" si="13"/>
        <v>0</v>
      </c>
      <c r="DM41" s="14">
        <f t="shared" si="13"/>
        <v>0</v>
      </c>
      <c r="DN41" s="14">
        <f t="shared" si="13"/>
        <v>0</v>
      </c>
      <c r="DO41" s="14">
        <f t="shared" si="13"/>
        <v>0</v>
      </c>
      <c r="DP41" s="14">
        <f t="shared" si="13"/>
        <v>0</v>
      </c>
      <c r="DQ41" s="14">
        <f t="shared" si="13"/>
        <v>0</v>
      </c>
      <c r="DR41" s="14">
        <f t="shared" si="13"/>
        <v>0</v>
      </c>
      <c r="DS41" s="14">
        <f t="shared" si="13"/>
        <v>0</v>
      </c>
      <c r="DT41" s="14">
        <f t="shared" si="13"/>
        <v>0</v>
      </c>
      <c r="DU41" s="14">
        <f t="shared" si="13"/>
        <v>0</v>
      </c>
      <c r="DV41" s="14">
        <f t="shared" si="13"/>
        <v>0</v>
      </c>
      <c r="DW41" s="14">
        <f t="shared" si="13"/>
        <v>0</v>
      </c>
      <c r="DX41" s="14">
        <f t="shared" si="13"/>
        <v>0</v>
      </c>
      <c r="DY41" s="14">
        <f t="shared" si="13"/>
        <v>0</v>
      </c>
      <c r="DZ41" s="14">
        <f t="shared" si="13"/>
        <v>0</v>
      </c>
      <c r="EA41" s="14">
        <f t="shared" si="13"/>
        <v>0</v>
      </c>
      <c r="EB41" s="14">
        <f t="shared" si="13"/>
        <v>0</v>
      </c>
      <c r="EC41" s="14">
        <f t="shared" si="13"/>
        <v>0</v>
      </c>
      <c r="ED41" s="14">
        <f t="shared" si="13"/>
        <v>0</v>
      </c>
      <c r="EE41" s="14">
        <f t="shared" si="7"/>
        <v>0</v>
      </c>
      <c r="EF41" s="14">
        <f t="shared" si="13"/>
        <v>0</v>
      </c>
    </row>
    <row r="42" spans="1:136" x14ac:dyDescent="0.3">
      <c r="A42" s="2" t="s">
        <v>24</v>
      </c>
      <c r="B42" s="14"/>
      <c r="C42" s="14">
        <f t="shared" si="0"/>
        <v>-70073.379272000006</v>
      </c>
      <c r="D42" s="14">
        <f t="shared" ref="D42:EF42" si="14">D14-C14</f>
        <v>0</v>
      </c>
      <c r="E42" s="14">
        <f t="shared" si="14"/>
        <v>75071.402533999993</v>
      </c>
      <c r="F42" s="14">
        <f t="shared" si="14"/>
        <v>-75071.402533999993</v>
      </c>
      <c r="G42" s="14">
        <f t="shared" si="14"/>
        <v>25005.755464000002</v>
      </c>
      <c r="H42" s="14">
        <f t="shared" si="14"/>
        <v>111114.541728</v>
      </c>
      <c r="I42" s="14">
        <f t="shared" si="14"/>
        <v>-136120.297192</v>
      </c>
      <c r="J42" s="14">
        <f t="shared" si="14"/>
        <v>0</v>
      </c>
      <c r="K42" s="14">
        <f t="shared" si="14"/>
        <v>207714.83435700001</v>
      </c>
      <c r="L42" s="14">
        <f t="shared" si="14"/>
        <v>-137700.71886300002</v>
      </c>
      <c r="M42" s="14">
        <f t="shared" si="14"/>
        <v>-70014.115493999998</v>
      </c>
      <c r="N42" s="14">
        <f t="shared" si="14"/>
        <v>185715.49213100001</v>
      </c>
      <c r="O42" s="14">
        <f t="shared" si="14"/>
        <v>29284.507868999994</v>
      </c>
      <c r="P42" s="14">
        <f t="shared" si="14"/>
        <v>171.65592499999912</v>
      </c>
      <c r="Q42" s="14">
        <f t="shared" si="14"/>
        <v>-215171.655925</v>
      </c>
      <c r="R42" s="14">
        <f t="shared" si="14"/>
        <v>0</v>
      </c>
      <c r="S42" s="14">
        <f t="shared" si="14"/>
        <v>0</v>
      </c>
      <c r="T42" s="14">
        <f t="shared" si="14"/>
        <v>0</v>
      </c>
      <c r="U42" s="14">
        <f t="shared" si="14"/>
        <v>0</v>
      </c>
      <c r="V42" s="14">
        <f t="shared" si="14"/>
        <v>0</v>
      </c>
      <c r="W42" s="14">
        <f t="shared" si="14"/>
        <v>0</v>
      </c>
      <c r="X42" s="14">
        <f t="shared" si="14"/>
        <v>0</v>
      </c>
      <c r="Y42" s="14">
        <f t="shared" si="14"/>
        <v>0</v>
      </c>
      <c r="Z42" s="14">
        <f t="shared" si="14"/>
        <v>0</v>
      </c>
      <c r="AA42" s="14">
        <f t="shared" si="14"/>
        <v>0</v>
      </c>
      <c r="AB42" s="14">
        <f t="shared" si="14"/>
        <v>0</v>
      </c>
      <c r="AC42" s="14">
        <f t="shared" si="14"/>
        <v>20000</v>
      </c>
      <c r="AD42" s="14">
        <f t="shared" si="14"/>
        <v>11.956578000001173</v>
      </c>
      <c r="AE42" s="14">
        <f t="shared" si="14"/>
        <v>-20011.956578000001</v>
      </c>
      <c r="AF42" s="14">
        <f t="shared" si="14"/>
        <v>0</v>
      </c>
      <c r="AG42" s="14">
        <f t="shared" si="2"/>
        <v>-185715.49213100001</v>
      </c>
      <c r="AH42" s="14">
        <f t="shared" si="14"/>
        <v>0</v>
      </c>
      <c r="AI42" s="14">
        <f t="shared" si="14"/>
        <v>0</v>
      </c>
      <c r="AJ42" s="14">
        <f t="shared" si="14"/>
        <v>0</v>
      </c>
      <c r="AK42" s="14">
        <f t="shared" si="14"/>
        <v>0</v>
      </c>
      <c r="AL42" s="14">
        <f t="shared" si="14"/>
        <v>0</v>
      </c>
      <c r="AM42" s="14">
        <f t="shared" si="14"/>
        <v>0</v>
      </c>
      <c r="AN42" s="14">
        <f t="shared" si="14"/>
        <v>0</v>
      </c>
      <c r="AO42" s="14">
        <f t="shared" si="14"/>
        <v>0</v>
      </c>
      <c r="AP42" s="14">
        <f t="shared" si="14"/>
        <v>0</v>
      </c>
      <c r="AQ42" s="14">
        <f t="shared" si="14"/>
        <v>0</v>
      </c>
      <c r="AR42" s="14">
        <f t="shared" si="14"/>
        <v>0</v>
      </c>
      <c r="AS42" s="14">
        <f t="shared" si="14"/>
        <v>0</v>
      </c>
      <c r="AT42" s="14">
        <f t="shared" si="14"/>
        <v>0</v>
      </c>
      <c r="AU42" s="14">
        <f t="shared" si="14"/>
        <v>0</v>
      </c>
      <c r="AV42" s="14">
        <f t="shared" si="14"/>
        <v>50000</v>
      </c>
      <c r="AW42" s="14">
        <f t="shared" si="14"/>
        <v>28.854033000003255</v>
      </c>
      <c r="AX42" s="14">
        <f t="shared" si="14"/>
        <v>9.6180109999986598</v>
      </c>
      <c r="AY42" s="14">
        <f t="shared" si="14"/>
        <v>-50038.472044000002</v>
      </c>
      <c r="AZ42" s="14">
        <f t="shared" si="14"/>
        <v>0</v>
      </c>
      <c r="BA42" s="14">
        <f t="shared" si="3"/>
        <v>0</v>
      </c>
      <c r="BB42" s="14">
        <f t="shared" si="14"/>
        <v>0</v>
      </c>
      <c r="BC42" s="14">
        <f t="shared" si="14"/>
        <v>0</v>
      </c>
      <c r="BD42" s="14">
        <f t="shared" si="14"/>
        <v>0</v>
      </c>
      <c r="BE42" s="14">
        <f t="shared" si="14"/>
        <v>0</v>
      </c>
      <c r="BF42" s="14">
        <f t="shared" si="14"/>
        <v>0</v>
      </c>
      <c r="BG42" s="14">
        <f t="shared" si="14"/>
        <v>0</v>
      </c>
      <c r="BH42" s="14">
        <f t="shared" si="14"/>
        <v>0</v>
      </c>
      <c r="BI42" s="14">
        <f t="shared" si="14"/>
        <v>0</v>
      </c>
      <c r="BJ42" s="14">
        <f t="shared" si="14"/>
        <v>0</v>
      </c>
      <c r="BK42" s="14">
        <f t="shared" si="14"/>
        <v>0</v>
      </c>
      <c r="BL42" s="14">
        <f t="shared" si="14"/>
        <v>0</v>
      </c>
      <c r="BM42" s="14">
        <f t="shared" si="14"/>
        <v>0</v>
      </c>
      <c r="BN42" s="14">
        <f t="shared" si="14"/>
        <v>0</v>
      </c>
      <c r="BO42" s="14">
        <f t="shared" si="14"/>
        <v>0</v>
      </c>
      <c r="BP42" s="14">
        <f t="shared" si="14"/>
        <v>0</v>
      </c>
      <c r="BQ42" s="14">
        <f t="shared" si="14"/>
        <v>0</v>
      </c>
      <c r="BR42" s="14">
        <f t="shared" si="14"/>
        <v>0</v>
      </c>
      <c r="BS42" s="14">
        <f t="shared" si="14"/>
        <v>173300</v>
      </c>
      <c r="BT42" s="14">
        <f t="shared" si="14"/>
        <v>32.986625999998068</v>
      </c>
      <c r="BU42" s="14">
        <f t="shared" si="14"/>
        <v>32.986632000014652</v>
      </c>
      <c r="BV42" s="14">
        <f t="shared" si="4"/>
        <v>173464.93314000001</v>
      </c>
      <c r="BW42" s="14">
        <f t="shared" si="14"/>
        <v>32.986628999991808</v>
      </c>
      <c r="BX42" s="14">
        <f t="shared" si="14"/>
        <v>-173497.919769</v>
      </c>
      <c r="BY42" s="14">
        <f t="shared" si="14"/>
        <v>0</v>
      </c>
      <c r="BZ42" s="14">
        <f t="shared" si="14"/>
        <v>0</v>
      </c>
      <c r="CA42" s="14">
        <f t="shared" si="14"/>
        <v>0</v>
      </c>
      <c r="CB42" s="14">
        <f t="shared" si="14"/>
        <v>0</v>
      </c>
      <c r="CC42" s="14">
        <f t="shared" si="14"/>
        <v>0</v>
      </c>
      <c r="CD42" s="14">
        <f t="shared" si="14"/>
        <v>0</v>
      </c>
      <c r="CE42" s="14">
        <f t="shared" si="14"/>
        <v>0</v>
      </c>
      <c r="CF42" s="14">
        <f t="shared" si="14"/>
        <v>0</v>
      </c>
      <c r="CG42" s="14">
        <f t="shared" si="14"/>
        <v>30000</v>
      </c>
      <c r="CH42" s="14">
        <f t="shared" si="14"/>
        <v>138800</v>
      </c>
      <c r="CI42" s="14">
        <f t="shared" si="14"/>
        <v>31.704231999989133</v>
      </c>
      <c r="CJ42" s="14">
        <f t="shared" si="14"/>
        <v>31.704232999996748</v>
      </c>
      <c r="CK42" s="14">
        <f t="shared" si="14"/>
        <v>95.112699000019347</v>
      </c>
      <c r="CL42" s="14">
        <f t="shared" si="14"/>
        <v>31.704232999996748</v>
      </c>
      <c r="CM42" s="14">
        <f t="shared" si="14"/>
        <v>31009.774602999998</v>
      </c>
      <c r="CN42" s="14">
        <f t="shared" si="14"/>
        <v>76.378553999995347</v>
      </c>
      <c r="CO42" s="14">
        <f t="shared" si="14"/>
        <v>114.5678290000069</v>
      </c>
      <c r="CP42" s="14">
        <f t="shared" si="14"/>
        <v>38.189275999990059</v>
      </c>
      <c r="CQ42" s="14">
        <f t="shared" si="5"/>
        <v>-73464.933140000008</v>
      </c>
      <c r="CR42" s="14">
        <f t="shared" si="14"/>
        <v>37.783576999994693</v>
      </c>
      <c r="CS42" s="14">
        <f t="shared" si="14"/>
        <v>56.675368000011076</v>
      </c>
      <c r="CT42" s="14">
        <f t="shared" si="14"/>
        <v>18.891789000001154</v>
      </c>
      <c r="CU42" s="14">
        <f t="shared" si="14"/>
        <v>-100113.35073400001</v>
      </c>
      <c r="CV42" s="14">
        <f t="shared" si="14"/>
        <v>0</v>
      </c>
      <c r="CW42" s="14">
        <f t="shared" si="14"/>
        <v>0</v>
      </c>
      <c r="CX42" s="14">
        <f t="shared" si="14"/>
        <v>20500</v>
      </c>
      <c r="CY42" s="14">
        <f t="shared" si="14"/>
        <v>104500</v>
      </c>
      <c r="CZ42" s="14">
        <f t="shared" si="14"/>
        <v>23.696981999994023</v>
      </c>
      <c r="DA42" s="14">
        <f t="shared" si="14"/>
        <v>23.696987000002991</v>
      </c>
      <c r="DB42" s="14">
        <f t="shared" si="14"/>
        <v>71.090949999997974</v>
      </c>
      <c r="DC42" s="14">
        <f t="shared" si="14"/>
        <v>23.696984000009252</v>
      </c>
      <c r="DD42" s="14">
        <f t="shared" si="14"/>
        <v>-125142.181903</v>
      </c>
      <c r="DE42" s="14">
        <f t="shared" si="14"/>
        <v>0</v>
      </c>
      <c r="DF42" s="14">
        <f t="shared" si="14"/>
        <v>0</v>
      </c>
      <c r="DG42" s="14">
        <f t="shared" si="14"/>
        <v>0</v>
      </c>
      <c r="DH42" s="14">
        <f t="shared" si="14"/>
        <v>0</v>
      </c>
      <c r="DI42" s="14">
        <f t="shared" si="14"/>
        <v>100000</v>
      </c>
      <c r="DJ42" s="14">
        <f t="shared" si="6"/>
        <v>123.46521799999755</v>
      </c>
      <c r="DK42" s="14">
        <f t="shared" si="14"/>
        <v>123.46521399999619</v>
      </c>
      <c r="DL42" s="14">
        <f t="shared" si="14"/>
        <v>61.732609500002582</v>
      </c>
      <c r="DM42" s="14">
        <f t="shared" si="14"/>
        <v>-100308.6630415</v>
      </c>
      <c r="DN42" s="14">
        <f t="shared" si="14"/>
        <v>0</v>
      </c>
      <c r="DO42" s="14">
        <f t="shared" si="14"/>
        <v>0</v>
      </c>
      <c r="DP42" s="14">
        <f t="shared" si="14"/>
        <v>0</v>
      </c>
      <c r="DQ42" s="14">
        <f t="shared" si="14"/>
        <v>0</v>
      </c>
      <c r="DR42" s="14">
        <f t="shared" si="14"/>
        <v>0</v>
      </c>
      <c r="DS42" s="14">
        <f t="shared" si="14"/>
        <v>0</v>
      </c>
      <c r="DT42" s="14">
        <f t="shared" si="14"/>
        <v>0</v>
      </c>
      <c r="DU42" s="14">
        <f t="shared" si="14"/>
        <v>0</v>
      </c>
      <c r="DV42" s="14">
        <f t="shared" si="14"/>
        <v>0</v>
      </c>
      <c r="DW42" s="14">
        <f t="shared" si="14"/>
        <v>0</v>
      </c>
      <c r="DX42" s="14">
        <f t="shared" si="14"/>
        <v>0</v>
      </c>
      <c r="DY42" s="14">
        <f t="shared" si="14"/>
        <v>0</v>
      </c>
      <c r="DZ42" s="14">
        <f t="shared" si="14"/>
        <v>0</v>
      </c>
      <c r="EA42" s="14">
        <f t="shared" si="14"/>
        <v>0</v>
      </c>
      <c r="EB42" s="14">
        <f t="shared" si="14"/>
        <v>237700.90265100001</v>
      </c>
      <c r="EC42" s="14">
        <f t="shared" si="14"/>
        <v>44.995389999996405</v>
      </c>
      <c r="ED42" s="14">
        <f t="shared" si="14"/>
        <v>44.99539100000402</v>
      </c>
      <c r="EE42" s="14">
        <f t="shared" si="7"/>
        <v>137802.414387</v>
      </c>
      <c r="EF42" s="14">
        <f t="shared" si="14"/>
        <v>44.995389999996405</v>
      </c>
    </row>
    <row r="43" spans="1:136" x14ac:dyDescent="0.3">
      <c r="A43" s="2" t="s">
        <v>25</v>
      </c>
      <c r="B43" s="14"/>
      <c r="C43" s="14">
        <f t="shared" si="0"/>
        <v>0</v>
      </c>
      <c r="D43" s="14">
        <f t="shared" ref="D43:EF43" si="15">D15-C15</f>
        <v>0</v>
      </c>
      <c r="E43" s="14">
        <f t="shared" si="15"/>
        <v>0</v>
      </c>
      <c r="F43" s="14">
        <f t="shared" si="15"/>
        <v>7000</v>
      </c>
      <c r="G43" s="14">
        <f t="shared" si="15"/>
        <v>-7000</v>
      </c>
      <c r="H43" s="14">
        <f t="shared" si="15"/>
        <v>0</v>
      </c>
      <c r="I43" s="14">
        <f t="shared" si="15"/>
        <v>0</v>
      </c>
      <c r="J43" s="14">
        <f t="shared" si="15"/>
        <v>0</v>
      </c>
      <c r="K43" s="14">
        <f t="shared" si="15"/>
        <v>0</v>
      </c>
      <c r="L43" s="14">
        <f t="shared" si="15"/>
        <v>0</v>
      </c>
      <c r="M43" s="14">
        <f t="shared" si="15"/>
        <v>0</v>
      </c>
      <c r="N43" s="14">
        <f t="shared" si="15"/>
        <v>0</v>
      </c>
      <c r="O43" s="14">
        <f t="shared" si="15"/>
        <v>23500</v>
      </c>
      <c r="P43" s="14">
        <f t="shared" si="15"/>
        <v>-13000</v>
      </c>
      <c r="Q43" s="14">
        <f t="shared" si="15"/>
        <v>-9500</v>
      </c>
      <c r="R43" s="14">
        <f t="shared" si="15"/>
        <v>-1000</v>
      </c>
      <c r="S43" s="14">
        <f t="shared" si="15"/>
        <v>0</v>
      </c>
      <c r="T43" s="14">
        <f t="shared" si="15"/>
        <v>0</v>
      </c>
      <c r="U43" s="14">
        <f t="shared" si="15"/>
        <v>0</v>
      </c>
      <c r="V43" s="14">
        <f t="shared" si="15"/>
        <v>0</v>
      </c>
      <c r="W43" s="14">
        <f t="shared" si="15"/>
        <v>0</v>
      </c>
      <c r="X43" s="14">
        <f t="shared" si="15"/>
        <v>0</v>
      </c>
      <c r="Y43" s="14">
        <f t="shared" si="15"/>
        <v>0</v>
      </c>
      <c r="Z43" s="14">
        <f t="shared" si="15"/>
        <v>0</v>
      </c>
      <c r="AA43" s="14">
        <f t="shared" si="15"/>
        <v>0</v>
      </c>
      <c r="AB43" s="14">
        <f t="shared" si="15"/>
        <v>5700</v>
      </c>
      <c r="AC43" s="14">
        <f t="shared" si="15"/>
        <v>-5700</v>
      </c>
      <c r="AD43" s="14">
        <f t="shared" si="15"/>
        <v>0</v>
      </c>
      <c r="AE43" s="14">
        <f t="shared" si="15"/>
        <v>0</v>
      </c>
      <c r="AF43" s="14">
        <f t="shared" si="15"/>
        <v>0</v>
      </c>
      <c r="AG43" s="14">
        <f t="shared" si="2"/>
        <v>0</v>
      </c>
      <c r="AH43" s="14">
        <f t="shared" si="15"/>
        <v>0</v>
      </c>
      <c r="AI43" s="14">
        <f t="shared" si="15"/>
        <v>0</v>
      </c>
      <c r="AJ43" s="14">
        <f t="shared" si="15"/>
        <v>0</v>
      </c>
      <c r="AK43" s="14">
        <f t="shared" si="15"/>
        <v>0</v>
      </c>
      <c r="AL43" s="14">
        <f t="shared" si="15"/>
        <v>0</v>
      </c>
      <c r="AM43" s="14">
        <f t="shared" si="15"/>
        <v>0</v>
      </c>
      <c r="AN43" s="14">
        <f t="shared" si="15"/>
        <v>0</v>
      </c>
      <c r="AO43" s="14">
        <f t="shared" si="15"/>
        <v>0</v>
      </c>
      <c r="AP43" s="14">
        <f t="shared" si="15"/>
        <v>0</v>
      </c>
      <c r="AQ43" s="14">
        <f t="shared" si="15"/>
        <v>0</v>
      </c>
      <c r="AR43" s="14">
        <f t="shared" si="15"/>
        <v>0</v>
      </c>
      <c r="AS43" s="14">
        <f t="shared" si="15"/>
        <v>0</v>
      </c>
      <c r="AT43" s="14">
        <f t="shared" si="15"/>
        <v>3000</v>
      </c>
      <c r="AU43" s="14">
        <f t="shared" si="15"/>
        <v>-3000</v>
      </c>
      <c r="AV43" s="14">
        <f t="shared" si="15"/>
        <v>0</v>
      </c>
      <c r="AW43" s="14">
        <f t="shared" si="15"/>
        <v>0</v>
      </c>
      <c r="AX43" s="14">
        <f t="shared" si="15"/>
        <v>0</v>
      </c>
      <c r="AY43" s="14">
        <f t="shared" si="15"/>
        <v>0</v>
      </c>
      <c r="AZ43" s="14">
        <f t="shared" si="15"/>
        <v>0</v>
      </c>
      <c r="BA43" s="14">
        <f t="shared" si="3"/>
        <v>0</v>
      </c>
      <c r="BB43" s="14">
        <f t="shared" si="15"/>
        <v>0</v>
      </c>
      <c r="BC43" s="14">
        <f t="shared" si="15"/>
        <v>0</v>
      </c>
      <c r="BD43" s="14">
        <f t="shared" si="15"/>
        <v>0</v>
      </c>
      <c r="BE43" s="14">
        <f t="shared" si="15"/>
        <v>0</v>
      </c>
      <c r="BF43" s="14">
        <f t="shared" si="15"/>
        <v>0</v>
      </c>
      <c r="BG43" s="14">
        <f t="shared" si="15"/>
        <v>0</v>
      </c>
      <c r="BH43" s="14">
        <f t="shared" si="15"/>
        <v>0</v>
      </c>
      <c r="BI43" s="14">
        <f t="shared" si="15"/>
        <v>0</v>
      </c>
      <c r="BJ43" s="14">
        <f t="shared" si="15"/>
        <v>0</v>
      </c>
      <c r="BK43" s="14">
        <f t="shared" si="15"/>
        <v>0</v>
      </c>
      <c r="BL43" s="14">
        <f t="shared" si="15"/>
        <v>0</v>
      </c>
      <c r="BM43" s="14">
        <f t="shared" si="15"/>
        <v>38500</v>
      </c>
      <c r="BN43" s="14">
        <f t="shared" si="15"/>
        <v>-38500</v>
      </c>
      <c r="BO43" s="14">
        <f t="shared" si="15"/>
        <v>0</v>
      </c>
      <c r="BP43" s="14">
        <f t="shared" si="15"/>
        <v>0</v>
      </c>
      <c r="BQ43" s="14">
        <f t="shared" si="15"/>
        <v>0</v>
      </c>
      <c r="BR43" s="14">
        <f t="shared" si="15"/>
        <v>0</v>
      </c>
      <c r="BS43" s="14">
        <f t="shared" si="15"/>
        <v>0</v>
      </c>
      <c r="BT43" s="14">
        <f t="shared" si="15"/>
        <v>0</v>
      </c>
      <c r="BU43" s="14">
        <f t="shared" si="15"/>
        <v>0</v>
      </c>
      <c r="BV43" s="14">
        <f t="shared" si="4"/>
        <v>0</v>
      </c>
      <c r="BW43" s="14">
        <f t="shared" si="15"/>
        <v>0</v>
      </c>
      <c r="BX43" s="14">
        <f t="shared" si="15"/>
        <v>0</v>
      </c>
      <c r="BY43" s="14">
        <f t="shared" si="15"/>
        <v>0</v>
      </c>
      <c r="BZ43" s="14">
        <f t="shared" si="15"/>
        <v>0</v>
      </c>
      <c r="CA43" s="14">
        <f t="shared" si="15"/>
        <v>0</v>
      </c>
      <c r="CB43" s="14">
        <f t="shared" si="15"/>
        <v>0</v>
      </c>
      <c r="CC43" s="14">
        <f t="shared" si="15"/>
        <v>0</v>
      </c>
      <c r="CD43" s="14">
        <f t="shared" si="15"/>
        <v>0</v>
      </c>
      <c r="CE43" s="14">
        <f t="shared" si="15"/>
        <v>0</v>
      </c>
      <c r="CF43" s="14">
        <f t="shared" si="15"/>
        <v>15000</v>
      </c>
      <c r="CG43" s="14">
        <f t="shared" si="15"/>
        <v>-15000</v>
      </c>
      <c r="CH43" s="14">
        <f t="shared" si="15"/>
        <v>0</v>
      </c>
      <c r="CI43" s="14">
        <f t="shared" si="15"/>
        <v>0</v>
      </c>
      <c r="CJ43" s="14">
        <f t="shared" si="15"/>
        <v>0</v>
      </c>
      <c r="CK43" s="14">
        <f t="shared" si="15"/>
        <v>0</v>
      </c>
      <c r="CL43" s="14">
        <f t="shared" si="15"/>
        <v>0</v>
      </c>
      <c r="CM43" s="14">
        <f t="shared" si="15"/>
        <v>0</v>
      </c>
      <c r="CN43" s="14">
        <f t="shared" si="15"/>
        <v>0</v>
      </c>
      <c r="CO43" s="14">
        <f t="shared" si="15"/>
        <v>0</v>
      </c>
      <c r="CP43" s="14">
        <f t="shared" si="15"/>
        <v>0</v>
      </c>
      <c r="CQ43" s="14">
        <f t="shared" si="5"/>
        <v>0</v>
      </c>
      <c r="CR43" s="14">
        <f t="shared" si="15"/>
        <v>0</v>
      </c>
      <c r="CS43" s="14">
        <f t="shared" si="15"/>
        <v>0</v>
      </c>
      <c r="CT43" s="14">
        <f t="shared" si="15"/>
        <v>0</v>
      </c>
      <c r="CU43" s="14">
        <f t="shared" si="15"/>
        <v>16000</v>
      </c>
      <c r="CV43" s="14">
        <f t="shared" si="15"/>
        <v>-16000</v>
      </c>
      <c r="CW43" s="14">
        <f t="shared" si="15"/>
        <v>6000</v>
      </c>
      <c r="CX43" s="14">
        <f t="shared" si="15"/>
        <v>-6000</v>
      </c>
      <c r="CY43" s="14">
        <f t="shared" si="15"/>
        <v>0</v>
      </c>
      <c r="CZ43" s="14">
        <f t="shared" si="15"/>
        <v>0</v>
      </c>
      <c r="DA43" s="14">
        <f t="shared" si="15"/>
        <v>0</v>
      </c>
      <c r="DB43" s="14">
        <f t="shared" si="15"/>
        <v>0</v>
      </c>
      <c r="DC43" s="14">
        <f t="shared" si="15"/>
        <v>0</v>
      </c>
      <c r="DD43" s="14">
        <f t="shared" si="15"/>
        <v>0</v>
      </c>
      <c r="DE43" s="14">
        <f t="shared" si="15"/>
        <v>0</v>
      </c>
      <c r="DF43" s="14">
        <f t="shared" si="15"/>
        <v>0</v>
      </c>
      <c r="DG43" s="14">
        <f t="shared" si="15"/>
        <v>0</v>
      </c>
      <c r="DH43" s="14">
        <f t="shared" si="15"/>
        <v>4000</v>
      </c>
      <c r="DI43" s="14">
        <f t="shared" si="15"/>
        <v>-4000</v>
      </c>
      <c r="DJ43" s="14">
        <f t="shared" si="6"/>
        <v>0</v>
      </c>
      <c r="DK43" s="14">
        <f t="shared" si="15"/>
        <v>0</v>
      </c>
      <c r="DL43" s="14">
        <f t="shared" si="15"/>
        <v>0</v>
      </c>
      <c r="DM43" s="14">
        <f t="shared" si="15"/>
        <v>0</v>
      </c>
      <c r="DN43" s="14">
        <f t="shared" si="15"/>
        <v>0</v>
      </c>
      <c r="DO43" s="14">
        <f t="shared" si="15"/>
        <v>0</v>
      </c>
      <c r="DP43" s="14">
        <f t="shared" si="15"/>
        <v>0</v>
      </c>
      <c r="DQ43" s="14">
        <f t="shared" si="15"/>
        <v>0</v>
      </c>
      <c r="DR43" s="14">
        <f t="shared" si="15"/>
        <v>0</v>
      </c>
      <c r="DS43" s="14">
        <f t="shared" si="15"/>
        <v>0</v>
      </c>
      <c r="DT43" s="14">
        <f t="shared" si="15"/>
        <v>0</v>
      </c>
      <c r="DU43" s="14">
        <f t="shared" si="15"/>
        <v>0</v>
      </c>
      <c r="DV43" s="14">
        <f t="shared" si="15"/>
        <v>0</v>
      </c>
      <c r="DW43" s="14">
        <f t="shared" si="15"/>
        <v>0</v>
      </c>
      <c r="DX43" s="14">
        <f t="shared" si="15"/>
        <v>0</v>
      </c>
      <c r="DY43" s="14">
        <f t="shared" si="15"/>
        <v>0</v>
      </c>
      <c r="DZ43" s="14">
        <f t="shared" si="15"/>
        <v>0</v>
      </c>
      <c r="EA43" s="14">
        <f t="shared" si="15"/>
        <v>0</v>
      </c>
      <c r="EB43" s="14">
        <f t="shared" si="15"/>
        <v>0</v>
      </c>
      <c r="EC43" s="14">
        <f t="shared" si="15"/>
        <v>0</v>
      </c>
      <c r="ED43" s="14">
        <f t="shared" si="15"/>
        <v>0</v>
      </c>
      <c r="EE43" s="14">
        <f t="shared" si="7"/>
        <v>0</v>
      </c>
      <c r="EF43" s="14">
        <f t="shared" si="15"/>
        <v>0</v>
      </c>
    </row>
    <row r="44" spans="1:136" x14ac:dyDescent="0.3">
      <c r="A44" s="2" t="s">
        <v>9</v>
      </c>
      <c r="B44" s="14"/>
      <c r="C44" s="14">
        <f t="shared" si="0"/>
        <v>0</v>
      </c>
      <c r="D44" s="14">
        <f t="shared" ref="D44:EF44" si="16">D16-C16</f>
        <v>0</v>
      </c>
      <c r="E44" s="14">
        <f t="shared" si="16"/>
        <v>0</v>
      </c>
      <c r="F44" s="14">
        <f t="shared" si="16"/>
        <v>0</v>
      </c>
      <c r="G44" s="14">
        <f t="shared" si="16"/>
        <v>0</v>
      </c>
      <c r="H44" s="14">
        <f t="shared" si="16"/>
        <v>0</v>
      </c>
      <c r="I44" s="14">
        <f t="shared" si="16"/>
        <v>0</v>
      </c>
      <c r="J44" s="14">
        <f t="shared" si="16"/>
        <v>0</v>
      </c>
      <c r="K44" s="14">
        <f t="shared" si="16"/>
        <v>0</v>
      </c>
      <c r="L44" s="14">
        <f t="shared" si="16"/>
        <v>0</v>
      </c>
      <c r="M44" s="14">
        <f t="shared" si="16"/>
        <v>0</v>
      </c>
      <c r="N44" s="14">
        <f t="shared" si="16"/>
        <v>0</v>
      </c>
      <c r="O44" s="14">
        <f t="shared" si="16"/>
        <v>0</v>
      </c>
      <c r="P44" s="14">
        <f t="shared" si="16"/>
        <v>0</v>
      </c>
      <c r="Q44" s="14">
        <f t="shared" si="16"/>
        <v>0</v>
      </c>
      <c r="R44" s="14">
        <f t="shared" si="16"/>
        <v>0</v>
      </c>
      <c r="S44" s="14">
        <f t="shared" si="16"/>
        <v>0</v>
      </c>
      <c r="T44" s="14">
        <f t="shared" si="16"/>
        <v>0</v>
      </c>
      <c r="U44" s="14">
        <f t="shared" si="16"/>
        <v>0</v>
      </c>
      <c r="V44" s="14">
        <f t="shared" si="16"/>
        <v>0</v>
      </c>
      <c r="W44" s="14">
        <f t="shared" si="16"/>
        <v>0</v>
      </c>
      <c r="X44" s="14">
        <f t="shared" si="16"/>
        <v>0</v>
      </c>
      <c r="Y44" s="14">
        <f t="shared" si="16"/>
        <v>0</v>
      </c>
      <c r="Z44" s="14">
        <f t="shared" si="16"/>
        <v>0</v>
      </c>
      <c r="AA44" s="14">
        <f t="shared" si="16"/>
        <v>0</v>
      </c>
      <c r="AB44" s="14">
        <f t="shared" si="16"/>
        <v>0</v>
      </c>
      <c r="AC44" s="14">
        <f t="shared" si="16"/>
        <v>0</v>
      </c>
      <c r="AD44" s="14">
        <f t="shared" si="16"/>
        <v>0</v>
      </c>
      <c r="AE44" s="14">
        <f t="shared" si="16"/>
        <v>0</v>
      </c>
      <c r="AF44" s="14">
        <f t="shared" si="16"/>
        <v>0</v>
      </c>
      <c r="AG44" s="14">
        <f t="shared" si="2"/>
        <v>0</v>
      </c>
      <c r="AH44" s="14">
        <f t="shared" si="16"/>
        <v>0</v>
      </c>
      <c r="AI44" s="14">
        <f t="shared" si="16"/>
        <v>0</v>
      </c>
      <c r="AJ44" s="14">
        <f t="shared" si="16"/>
        <v>0</v>
      </c>
      <c r="AK44" s="14">
        <f t="shared" si="16"/>
        <v>0</v>
      </c>
      <c r="AL44" s="14">
        <f t="shared" si="16"/>
        <v>0</v>
      </c>
      <c r="AM44" s="14">
        <f t="shared" si="16"/>
        <v>0</v>
      </c>
      <c r="AN44" s="14">
        <f t="shared" si="16"/>
        <v>0</v>
      </c>
      <c r="AO44" s="14">
        <f t="shared" si="16"/>
        <v>0</v>
      </c>
      <c r="AP44" s="14">
        <f t="shared" si="16"/>
        <v>0</v>
      </c>
      <c r="AQ44" s="14">
        <f t="shared" si="16"/>
        <v>0</v>
      </c>
      <c r="AR44" s="14">
        <f t="shared" si="16"/>
        <v>0</v>
      </c>
      <c r="AS44" s="14">
        <f t="shared" si="16"/>
        <v>0</v>
      </c>
      <c r="AT44" s="14">
        <f t="shared" si="16"/>
        <v>0</v>
      </c>
      <c r="AU44" s="14">
        <f t="shared" si="16"/>
        <v>0</v>
      </c>
      <c r="AV44" s="14">
        <f t="shared" si="16"/>
        <v>0</v>
      </c>
      <c r="AW44" s="14">
        <f t="shared" si="16"/>
        <v>0</v>
      </c>
      <c r="AX44" s="14">
        <f t="shared" si="16"/>
        <v>0</v>
      </c>
      <c r="AY44" s="14">
        <f t="shared" si="16"/>
        <v>0</v>
      </c>
      <c r="AZ44" s="14">
        <f t="shared" si="16"/>
        <v>0</v>
      </c>
      <c r="BA44" s="14">
        <f t="shared" si="3"/>
        <v>0</v>
      </c>
      <c r="BB44" s="14">
        <f t="shared" si="16"/>
        <v>0</v>
      </c>
      <c r="BC44" s="14">
        <f t="shared" si="16"/>
        <v>0</v>
      </c>
      <c r="BD44" s="14">
        <f t="shared" si="16"/>
        <v>0</v>
      </c>
      <c r="BE44" s="14">
        <f t="shared" si="16"/>
        <v>0</v>
      </c>
      <c r="BF44" s="14">
        <f t="shared" si="16"/>
        <v>0</v>
      </c>
      <c r="BG44" s="14">
        <f t="shared" si="16"/>
        <v>0</v>
      </c>
      <c r="BH44" s="14">
        <f t="shared" si="16"/>
        <v>0</v>
      </c>
      <c r="BI44" s="14">
        <f t="shared" si="16"/>
        <v>0</v>
      </c>
      <c r="BJ44" s="14">
        <f t="shared" si="16"/>
        <v>0</v>
      </c>
      <c r="BK44" s="14">
        <f t="shared" si="16"/>
        <v>0</v>
      </c>
      <c r="BL44" s="14">
        <f t="shared" si="16"/>
        <v>0</v>
      </c>
      <c r="BM44" s="14">
        <f t="shared" si="16"/>
        <v>0</v>
      </c>
      <c r="BN44" s="14">
        <f t="shared" si="16"/>
        <v>0</v>
      </c>
      <c r="BO44" s="14">
        <f t="shared" si="16"/>
        <v>0</v>
      </c>
      <c r="BP44" s="14">
        <f t="shared" si="16"/>
        <v>0</v>
      </c>
      <c r="BQ44" s="14">
        <f t="shared" si="16"/>
        <v>0</v>
      </c>
      <c r="BR44" s="14">
        <f t="shared" si="16"/>
        <v>0</v>
      </c>
      <c r="BS44" s="14">
        <f t="shared" si="16"/>
        <v>0</v>
      </c>
      <c r="BT44" s="14">
        <f t="shared" si="16"/>
        <v>0</v>
      </c>
      <c r="BU44" s="14">
        <f t="shared" si="16"/>
        <v>0</v>
      </c>
      <c r="BV44" s="14">
        <f t="shared" si="4"/>
        <v>0</v>
      </c>
      <c r="BW44" s="14">
        <f t="shared" si="16"/>
        <v>0</v>
      </c>
      <c r="BX44" s="14">
        <f t="shared" si="16"/>
        <v>0</v>
      </c>
      <c r="BY44" s="14">
        <f t="shared" si="16"/>
        <v>0</v>
      </c>
      <c r="BZ44" s="14">
        <f t="shared" si="16"/>
        <v>0</v>
      </c>
      <c r="CA44" s="14">
        <f t="shared" si="16"/>
        <v>0</v>
      </c>
      <c r="CB44" s="14">
        <f t="shared" si="16"/>
        <v>0</v>
      </c>
      <c r="CC44" s="14">
        <f t="shared" si="16"/>
        <v>0</v>
      </c>
      <c r="CD44" s="14">
        <f t="shared" si="16"/>
        <v>0</v>
      </c>
      <c r="CE44" s="14">
        <f t="shared" si="16"/>
        <v>0</v>
      </c>
      <c r="CF44" s="14">
        <f t="shared" si="16"/>
        <v>0</v>
      </c>
      <c r="CG44" s="14">
        <f t="shared" si="16"/>
        <v>0</v>
      </c>
      <c r="CH44" s="14">
        <f t="shared" si="16"/>
        <v>0</v>
      </c>
      <c r="CI44" s="14">
        <f t="shared" si="16"/>
        <v>0</v>
      </c>
      <c r="CJ44" s="14">
        <f t="shared" si="16"/>
        <v>0</v>
      </c>
      <c r="CK44" s="14">
        <f t="shared" si="16"/>
        <v>0</v>
      </c>
      <c r="CL44" s="14">
        <f t="shared" si="16"/>
        <v>0</v>
      </c>
      <c r="CM44" s="14">
        <f t="shared" si="16"/>
        <v>0</v>
      </c>
      <c r="CN44" s="14">
        <f t="shared" si="16"/>
        <v>0</v>
      </c>
      <c r="CO44" s="14">
        <f t="shared" si="16"/>
        <v>0</v>
      </c>
      <c r="CP44" s="14">
        <f t="shared" si="16"/>
        <v>0</v>
      </c>
      <c r="CQ44" s="14">
        <f t="shared" si="5"/>
        <v>0</v>
      </c>
      <c r="CR44" s="14">
        <f t="shared" si="16"/>
        <v>0</v>
      </c>
      <c r="CS44" s="14">
        <f t="shared" si="16"/>
        <v>0</v>
      </c>
      <c r="CT44" s="14">
        <f t="shared" si="16"/>
        <v>0</v>
      </c>
      <c r="CU44" s="14">
        <f t="shared" si="16"/>
        <v>0</v>
      </c>
      <c r="CV44" s="14">
        <f t="shared" si="16"/>
        <v>0</v>
      </c>
      <c r="CW44" s="14">
        <f t="shared" si="16"/>
        <v>0</v>
      </c>
      <c r="CX44" s="14">
        <f t="shared" si="16"/>
        <v>0</v>
      </c>
      <c r="CY44" s="14">
        <f t="shared" si="16"/>
        <v>0</v>
      </c>
      <c r="CZ44" s="14">
        <f t="shared" si="16"/>
        <v>0</v>
      </c>
      <c r="DA44" s="14">
        <f t="shared" si="16"/>
        <v>0</v>
      </c>
      <c r="DB44" s="14">
        <f t="shared" si="16"/>
        <v>0</v>
      </c>
      <c r="DC44" s="14">
        <f t="shared" si="16"/>
        <v>0</v>
      </c>
      <c r="DD44" s="14">
        <f t="shared" si="16"/>
        <v>0</v>
      </c>
      <c r="DE44" s="14">
        <f t="shared" si="16"/>
        <v>0</v>
      </c>
      <c r="DF44" s="14">
        <f t="shared" si="16"/>
        <v>0</v>
      </c>
      <c r="DG44" s="14">
        <f t="shared" si="16"/>
        <v>0</v>
      </c>
      <c r="DH44" s="14">
        <f t="shared" si="16"/>
        <v>0</v>
      </c>
      <c r="DI44" s="14">
        <f t="shared" si="16"/>
        <v>0</v>
      </c>
      <c r="DJ44" s="14">
        <f t="shared" si="6"/>
        <v>0</v>
      </c>
      <c r="DK44" s="14">
        <f t="shared" si="16"/>
        <v>0</v>
      </c>
      <c r="DL44" s="14">
        <f t="shared" si="16"/>
        <v>0</v>
      </c>
      <c r="DM44" s="14">
        <f t="shared" si="16"/>
        <v>0</v>
      </c>
      <c r="DN44" s="14">
        <f t="shared" si="16"/>
        <v>0</v>
      </c>
      <c r="DO44" s="14">
        <f t="shared" si="16"/>
        <v>0</v>
      </c>
      <c r="DP44" s="14">
        <f t="shared" si="16"/>
        <v>0</v>
      </c>
      <c r="DQ44" s="14">
        <f t="shared" si="16"/>
        <v>0</v>
      </c>
      <c r="DR44" s="14">
        <f t="shared" si="16"/>
        <v>0</v>
      </c>
      <c r="DS44" s="14">
        <f t="shared" si="16"/>
        <v>0</v>
      </c>
      <c r="DT44" s="14">
        <f t="shared" si="16"/>
        <v>0</v>
      </c>
      <c r="DU44" s="14">
        <f t="shared" si="16"/>
        <v>0</v>
      </c>
      <c r="DV44" s="14">
        <f t="shared" si="16"/>
        <v>0</v>
      </c>
      <c r="DW44" s="14">
        <f t="shared" si="16"/>
        <v>0</v>
      </c>
      <c r="DX44" s="14">
        <f t="shared" si="16"/>
        <v>0</v>
      </c>
      <c r="DY44" s="14">
        <f t="shared" si="16"/>
        <v>0</v>
      </c>
      <c r="DZ44" s="14">
        <f t="shared" si="16"/>
        <v>0</v>
      </c>
      <c r="EA44" s="14">
        <f t="shared" si="16"/>
        <v>0</v>
      </c>
      <c r="EB44" s="14">
        <f t="shared" si="16"/>
        <v>0</v>
      </c>
      <c r="EC44" s="14">
        <f t="shared" si="16"/>
        <v>0</v>
      </c>
      <c r="ED44" s="14">
        <f t="shared" si="16"/>
        <v>0</v>
      </c>
      <c r="EE44" s="14">
        <f t="shared" si="7"/>
        <v>0</v>
      </c>
      <c r="EF44" s="14">
        <f t="shared" si="16"/>
        <v>0</v>
      </c>
    </row>
    <row r="45" spans="1:136" x14ac:dyDescent="0.3">
      <c r="A45" s="2" t="s">
        <v>10</v>
      </c>
      <c r="B45" s="14"/>
      <c r="C45" s="14">
        <f>-(C17-B17)</f>
        <v>0</v>
      </c>
      <c r="D45" s="14">
        <f t="shared" ref="D45:EF45" si="17">-(D17-C17)</f>
        <v>0</v>
      </c>
      <c r="E45" s="14">
        <f t="shared" si="17"/>
        <v>0</v>
      </c>
      <c r="F45" s="14">
        <f t="shared" si="17"/>
        <v>0</v>
      </c>
      <c r="G45" s="14">
        <f t="shared" si="17"/>
        <v>0</v>
      </c>
      <c r="H45" s="14">
        <f t="shared" si="17"/>
        <v>0</v>
      </c>
      <c r="I45" s="14">
        <f t="shared" si="17"/>
        <v>0</v>
      </c>
      <c r="J45" s="14">
        <f t="shared" si="17"/>
        <v>0</v>
      </c>
      <c r="K45" s="14">
        <f t="shared" si="17"/>
        <v>1000.1639344</v>
      </c>
      <c r="L45" s="14">
        <f t="shared" si="17"/>
        <v>-1000.1639344</v>
      </c>
      <c r="M45" s="14">
        <f t="shared" si="17"/>
        <v>0</v>
      </c>
      <c r="N45" s="14">
        <f t="shared" si="17"/>
        <v>2000.6010929000001</v>
      </c>
      <c r="O45" s="14">
        <f t="shared" si="17"/>
        <v>-2000.6010929000001</v>
      </c>
      <c r="P45" s="14">
        <f t="shared" si="17"/>
        <v>0</v>
      </c>
      <c r="Q45" s="14">
        <f t="shared" si="17"/>
        <v>0</v>
      </c>
      <c r="R45" s="14">
        <f t="shared" si="17"/>
        <v>0</v>
      </c>
      <c r="S45" s="14">
        <f t="shared" si="17"/>
        <v>3000.4520548</v>
      </c>
      <c r="T45" s="14">
        <f t="shared" si="17"/>
        <v>35005.273972700001</v>
      </c>
      <c r="U45" s="14">
        <f t="shared" si="17"/>
        <v>7601.1452055000045</v>
      </c>
      <c r="V45" s="14">
        <f t="shared" si="17"/>
        <v>-45606.871233000005</v>
      </c>
      <c r="W45" s="14">
        <f t="shared" si="17"/>
        <v>0</v>
      </c>
      <c r="X45" s="14">
        <f t="shared" si="17"/>
        <v>0</v>
      </c>
      <c r="Y45" s="14">
        <f t="shared" si="17"/>
        <v>0</v>
      </c>
      <c r="Z45" s="14">
        <f t="shared" si="17"/>
        <v>0</v>
      </c>
      <c r="AA45" s="14">
        <f t="shared" si="17"/>
        <v>0</v>
      </c>
      <c r="AB45" s="14">
        <f t="shared" si="17"/>
        <v>0</v>
      </c>
      <c r="AC45" s="14">
        <f t="shared" si="17"/>
        <v>0</v>
      </c>
      <c r="AD45" s="14">
        <f t="shared" si="17"/>
        <v>0</v>
      </c>
      <c r="AE45" s="14">
        <f t="shared" si="17"/>
        <v>0</v>
      </c>
      <c r="AF45" s="14">
        <f t="shared" si="17"/>
        <v>0</v>
      </c>
      <c r="AG45" s="14">
        <f>-(AG17-N17)</f>
        <v>-2000.6010929000001</v>
      </c>
      <c r="AH45" s="14">
        <f t="shared" si="17"/>
        <v>0</v>
      </c>
      <c r="AI45" s="14">
        <f t="shared" si="17"/>
        <v>0</v>
      </c>
      <c r="AJ45" s="14">
        <f t="shared" si="17"/>
        <v>0</v>
      </c>
      <c r="AK45" s="14">
        <f t="shared" si="17"/>
        <v>0</v>
      </c>
      <c r="AL45" s="14">
        <f t="shared" si="17"/>
        <v>3000.4315068000001</v>
      </c>
      <c r="AM45" s="14">
        <f t="shared" si="17"/>
        <v>6950.9996576000012</v>
      </c>
      <c r="AN45" s="14">
        <f t="shared" si="17"/>
        <v>26503.811643800003</v>
      </c>
      <c r="AO45" s="14">
        <f t="shared" si="17"/>
        <v>-36455.242808200004</v>
      </c>
      <c r="AP45" s="14">
        <f t="shared" si="17"/>
        <v>0</v>
      </c>
      <c r="AQ45" s="14">
        <f t="shared" si="17"/>
        <v>0</v>
      </c>
      <c r="AR45" s="14">
        <f t="shared" si="17"/>
        <v>0</v>
      </c>
      <c r="AS45" s="14">
        <f t="shared" si="17"/>
        <v>0</v>
      </c>
      <c r="AT45" s="14">
        <f t="shared" si="17"/>
        <v>0</v>
      </c>
      <c r="AU45" s="14">
        <f t="shared" si="17"/>
        <v>0</v>
      </c>
      <c r="AV45" s="14">
        <f t="shared" si="17"/>
        <v>0</v>
      </c>
      <c r="AW45" s="14">
        <f t="shared" si="17"/>
        <v>0</v>
      </c>
      <c r="AX45" s="14">
        <f t="shared" si="17"/>
        <v>0</v>
      </c>
      <c r="AY45" s="14">
        <f t="shared" si="17"/>
        <v>0</v>
      </c>
      <c r="AZ45" s="14">
        <f t="shared" si="17"/>
        <v>0</v>
      </c>
      <c r="BA45" s="14">
        <f>-(BA17-AG17)</f>
        <v>0</v>
      </c>
      <c r="BB45" s="14">
        <f t="shared" si="17"/>
        <v>0</v>
      </c>
      <c r="BC45" s="14">
        <f t="shared" si="17"/>
        <v>0</v>
      </c>
      <c r="BD45" s="14">
        <f t="shared" si="17"/>
        <v>0</v>
      </c>
      <c r="BE45" s="14">
        <f t="shared" si="17"/>
        <v>0</v>
      </c>
      <c r="BF45" s="14">
        <f t="shared" si="17"/>
        <v>0</v>
      </c>
      <c r="BG45" s="14">
        <f t="shared" si="17"/>
        <v>0</v>
      </c>
      <c r="BH45" s="14">
        <f t="shared" si="17"/>
        <v>0</v>
      </c>
      <c r="BI45" s="14">
        <f t="shared" si="17"/>
        <v>0</v>
      </c>
      <c r="BJ45" s="14">
        <f t="shared" si="17"/>
        <v>5000.7191781000001</v>
      </c>
      <c r="BK45" s="14">
        <f t="shared" si="17"/>
        <v>1500.2157533999998</v>
      </c>
      <c r="BL45" s="14">
        <f t="shared" si="17"/>
        <v>18502.6609589</v>
      </c>
      <c r="BM45" s="14">
        <f t="shared" si="17"/>
        <v>-12701.826712300001</v>
      </c>
      <c r="BN45" s="14">
        <f t="shared" si="17"/>
        <v>-12301.769178099999</v>
      </c>
      <c r="BO45" s="14">
        <f t="shared" si="17"/>
        <v>0</v>
      </c>
      <c r="BP45" s="14">
        <f t="shared" si="17"/>
        <v>0</v>
      </c>
      <c r="BQ45" s="14">
        <f t="shared" si="17"/>
        <v>0</v>
      </c>
      <c r="BR45" s="14">
        <f t="shared" si="17"/>
        <v>0</v>
      </c>
      <c r="BS45" s="14">
        <f t="shared" si="17"/>
        <v>0</v>
      </c>
      <c r="BT45" s="14">
        <f t="shared" si="17"/>
        <v>0</v>
      </c>
      <c r="BU45" s="14">
        <f t="shared" si="17"/>
        <v>0</v>
      </c>
      <c r="BV45" s="14">
        <f>-(BV17-BA17)</f>
        <v>0</v>
      </c>
      <c r="BW45" s="14">
        <f t="shared" si="17"/>
        <v>0</v>
      </c>
      <c r="BX45" s="14">
        <f t="shared" si="17"/>
        <v>0</v>
      </c>
      <c r="BY45" s="14">
        <f t="shared" si="17"/>
        <v>0</v>
      </c>
      <c r="BZ45" s="14">
        <f t="shared" si="17"/>
        <v>0</v>
      </c>
      <c r="CA45" s="14">
        <f t="shared" si="17"/>
        <v>0</v>
      </c>
      <c r="CB45" s="14">
        <f t="shared" si="17"/>
        <v>0</v>
      </c>
      <c r="CC45" s="14">
        <f t="shared" si="17"/>
        <v>0</v>
      </c>
      <c r="CD45" s="14">
        <f t="shared" si="17"/>
        <v>0</v>
      </c>
      <c r="CE45" s="14">
        <f t="shared" si="17"/>
        <v>12751.833904100002</v>
      </c>
      <c r="CF45" s="14">
        <f t="shared" si="17"/>
        <v>-3250.4674657000014</v>
      </c>
      <c r="CG45" s="14">
        <f t="shared" si="17"/>
        <v>5400.7767121999987</v>
      </c>
      <c r="CH45" s="14">
        <f t="shared" si="17"/>
        <v>-14902.143150599999</v>
      </c>
      <c r="CI45" s="14">
        <f t="shared" si="17"/>
        <v>0</v>
      </c>
      <c r="CJ45" s="14">
        <f t="shared" si="17"/>
        <v>0</v>
      </c>
      <c r="CK45" s="14">
        <f t="shared" si="17"/>
        <v>0</v>
      </c>
      <c r="CL45" s="14">
        <f t="shared" si="17"/>
        <v>0</v>
      </c>
      <c r="CM45" s="14">
        <f t="shared" si="17"/>
        <v>0</v>
      </c>
      <c r="CN45" s="14">
        <f t="shared" si="17"/>
        <v>0</v>
      </c>
      <c r="CO45" s="14">
        <f t="shared" si="17"/>
        <v>0</v>
      </c>
      <c r="CP45" s="14">
        <f t="shared" si="17"/>
        <v>0</v>
      </c>
      <c r="CQ45" s="14">
        <f>-(CQ17-BV17)</f>
        <v>0</v>
      </c>
      <c r="CR45" s="14">
        <f t="shared" si="17"/>
        <v>0</v>
      </c>
      <c r="CS45" s="14">
        <f t="shared" si="17"/>
        <v>3000.4315068000001</v>
      </c>
      <c r="CT45" s="14">
        <f t="shared" si="17"/>
        <v>-3000.4315068000001</v>
      </c>
      <c r="CU45" s="14">
        <f t="shared" si="17"/>
        <v>0</v>
      </c>
      <c r="CV45" s="14">
        <f t="shared" si="17"/>
        <v>2000.2876712</v>
      </c>
      <c r="CW45" s="14">
        <f t="shared" si="17"/>
        <v>200.02876719999972</v>
      </c>
      <c r="CX45" s="14">
        <f t="shared" si="17"/>
        <v>22453.229109499996</v>
      </c>
      <c r="CY45" s="14">
        <f t="shared" si="17"/>
        <v>-24653.545547899997</v>
      </c>
      <c r="CZ45" s="14">
        <f t="shared" si="17"/>
        <v>0</v>
      </c>
      <c r="DA45" s="14">
        <f t="shared" si="17"/>
        <v>0</v>
      </c>
      <c r="DB45" s="14">
        <f t="shared" si="17"/>
        <v>0</v>
      </c>
      <c r="DC45" s="14">
        <f t="shared" si="17"/>
        <v>0</v>
      </c>
      <c r="DD45" s="14">
        <f t="shared" si="17"/>
        <v>0</v>
      </c>
      <c r="DE45" s="14">
        <f t="shared" si="17"/>
        <v>0</v>
      </c>
      <c r="DF45" s="14">
        <f t="shared" si="17"/>
        <v>0</v>
      </c>
      <c r="DG45" s="14">
        <f t="shared" si="17"/>
        <v>0</v>
      </c>
      <c r="DH45" s="14">
        <f t="shared" si="17"/>
        <v>0</v>
      </c>
      <c r="DI45" s="14">
        <f t="shared" si="17"/>
        <v>0</v>
      </c>
      <c r="DJ45" s="14">
        <f>-(DJ17-CQ17)</f>
        <v>0</v>
      </c>
      <c r="DK45" s="14">
        <f t="shared" si="17"/>
        <v>0</v>
      </c>
      <c r="DL45" s="14">
        <f t="shared" si="17"/>
        <v>0</v>
      </c>
      <c r="DM45" s="14">
        <f t="shared" si="17"/>
        <v>0</v>
      </c>
      <c r="DN45" s="14">
        <f t="shared" si="17"/>
        <v>0</v>
      </c>
      <c r="DO45" s="14">
        <f t="shared" si="17"/>
        <v>0</v>
      </c>
      <c r="DP45" s="14">
        <f t="shared" si="17"/>
        <v>60008.630137</v>
      </c>
      <c r="DQ45" s="14">
        <f t="shared" si="17"/>
        <v>0</v>
      </c>
      <c r="DR45" s="14">
        <f t="shared" si="17"/>
        <v>-60008.630137</v>
      </c>
      <c r="DS45" s="14">
        <f t="shared" si="17"/>
        <v>0</v>
      </c>
      <c r="DT45" s="14">
        <f t="shared" si="17"/>
        <v>10001.4383562</v>
      </c>
      <c r="DU45" s="14">
        <f t="shared" si="17"/>
        <v>14002.0136986</v>
      </c>
      <c r="DV45" s="14">
        <f t="shared" si="17"/>
        <v>55808.026027300002</v>
      </c>
      <c r="DW45" s="14">
        <f t="shared" si="17"/>
        <v>-79811.478082100002</v>
      </c>
      <c r="DX45" s="14">
        <f t="shared" si="17"/>
        <v>0</v>
      </c>
      <c r="DY45" s="14">
        <f t="shared" si="17"/>
        <v>0</v>
      </c>
      <c r="DZ45" s="14">
        <f t="shared" si="17"/>
        <v>0</v>
      </c>
      <c r="EA45" s="14">
        <f t="shared" si="17"/>
        <v>0</v>
      </c>
      <c r="EB45" s="14">
        <f t="shared" si="17"/>
        <v>0</v>
      </c>
      <c r="EC45" s="14">
        <f t="shared" si="17"/>
        <v>0</v>
      </c>
      <c r="ED45" s="14">
        <f t="shared" si="17"/>
        <v>0</v>
      </c>
      <c r="EE45" s="14">
        <f>-(EE17-DJ17)</f>
        <v>0</v>
      </c>
      <c r="EF45" s="14">
        <f t="shared" si="17"/>
        <v>0</v>
      </c>
    </row>
    <row r="46" spans="1:136" x14ac:dyDescent="0.3">
      <c r="A46" s="2" t="s">
        <v>12</v>
      </c>
      <c r="B46" s="14"/>
      <c r="C46" s="14">
        <f>-(C18-B18)</f>
        <v>0</v>
      </c>
      <c r="D46" s="14">
        <f t="shared" ref="D46:EF46" si="18">-(D18-C18)</f>
        <v>0</v>
      </c>
      <c r="E46" s="14">
        <f t="shared" si="18"/>
        <v>0</v>
      </c>
      <c r="F46" s="14">
        <f t="shared" si="18"/>
        <v>0</v>
      </c>
      <c r="G46" s="14">
        <f t="shared" si="18"/>
        <v>0</v>
      </c>
      <c r="H46" s="14">
        <f t="shared" si="18"/>
        <v>0</v>
      </c>
      <c r="I46" s="14">
        <f t="shared" si="18"/>
        <v>0</v>
      </c>
      <c r="J46" s="14">
        <f t="shared" si="18"/>
        <v>0</v>
      </c>
      <c r="K46" s="14">
        <f t="shared" si="18"/>
        <v>0</v>
      </c>
      <c r="L46" s="14">
        <f t="shared" si="18"/>
        <v>0</v>
      </c>
      <c r="M46" s="14">
        <f t="shared" si="18"/>
        <v>0</v>
      </c>
      <c r="N46" s="14">
        <f t="shared" si="18"/>
        <v>0</v>
      </c>
      <c r="O46" s="14">
        <f t="shared" si="18"/>
        <v>0</v>
      </c>
      <c r="P46" s="14">
        <f t="shared" si="18"/>
        <v>0</v>
      </c>
      <c r="Q46" s="14">
        <f t="shared" si="18"/>
        <v>0</v>
      </c>
      <c r="R46" s="14">
        <f t="shared" si="18"/>
        <v>0</v>
      </c>
      <c r="S46" s="14">
        <f t="shared" si="18"/>
        <v>0</v>
      </c>
      <c r="T46" s="14">
        <f t="shared" si="18"/>
        <v>0</v>
      </c>
      <c r="U46" s="14">
        <f t="shared" si="18"/>
        <v>0</v>
      </c>
      <c r="V46" s="14">
        <f t="shared" si="18"/>
        <v>0</v>
      </c>
      <c r="W46" s="14">
        <f t="shared" si="18"/>
        <v>0</v>
      </c>
      <c r="X46" s="14">
        <f t="shared" si="18"/>
        <v>0</v>
      </c>
      <c r="Y46" s="14">
        <f t="shared" si="18"/>
        <v>0</v>
      </c>
      <c r="Z46" s="14">
        <f t="shared" si="18"/>
        <v>0</v>
      </c>
      <c r="AA46" s="14">
        <f t="shared" si="18"/>
        <v>0</v>
      </c>
      <c r="AB46" s="14">
        <f t="shared" si="18"/>
        <v>0</v>
      </c>
      <c r="AC46" s="14">
        <f t="shared" si="18"/>
        <v>0</v>
      </c>
      <c r="AD46" s="14">
        <f t="shared" si="18"/>
        <v>0</v>
      </c>
      <c r="AE46" s="14">
        <f t="shared" si="18"/>
        <v>0</v>
      </c>
      <c r="AF46" s="14">
        <f t="shared" si="18"/>
        <v>0</v>
      </c>
      <c r="AG46" s="14">
        <f>-(AG18-N18)</f>
        <v>0</v>
      </c>
      <c r="AH46" s="14">
        <f t="shared" si="18"/>
        <v>0</v>
      </c>
      <c r="AI46" s="14">
        <f t="shared" si="18"/>
        <v>0</v>
      </c>
      <c r="AJ46" s="14">
        <f t="shared" si="18"/>
        <v>0</v>
      </c>
      <c r="AK46" s="14">
        <f t="shared" si="18"/>
        <v>0</v>
      </c>
      <c r="AL46" s="14">
        <f t="shared" si="18"/>
        <v>0</v>
      </c>
      <c r="AM46" s="14">
        <f t="shared" si="18"/>
        <v>0</v>
      </c>
      <c r="AN46" s="14">
        <f t="shared" si="18"/>
        <v>0</v>
      </c>
      <c r="AO46" s="14">
        <f t="shared" si="18"/>
        <v>0</v>
      </c>
      <c r="AP46" s="14">
        <f t="shared" si="18"/>
        <v>0</v>
      </c>
      <c r="AQ46" s="14">
        <f t="shared" si="18"/>
        <v>0</v>
      </c>
      <c r="AR46" s="14">
        <f t="shared" si="18"/>
        <v>0</v>
      </c>
      <c r="AS46" s="14">
        <f t="shared" si="18"/>
        <v>0</v>
      </c>
      <c r="AT46" s="14">
        <f t="shared" si="18"/>
        <v>0</v>
      </c>
      <c r="AU46" s="14">
        <f t="shared" si="18"/>
        <v>0</v>
      </c>
      <c r="AV46" s="14">
        <f t="shared" si="18"/>
        <v>0</v>
      </c>
      <c r="AW46" s="14">
        <f t="shared" si="18"/>
        <v>0</v>
      </c>
      <c r="AX46" s="14">
        <f t="shared" si="18"/>
        <v>0</v>
      </c>
      <c r="AY46" s="14">
        <f t="shared" si="18"/>
        <v>0</v>
      </c>
      <c r="AZ46" s="14">
        <f t="shared" si="18"/>
        <v>0</v>
      </c>
      <c r="BA46" s="14">
        <f>-(BA18-AG18)</f>
        <v>0</v>
      </c>
      <c r="BB46" s="14">
        <f t="shared" si="18"/>
        <v>0</v>
      </c>
      <c r="BC46" s="14">
        <f t="shared" si="18"/>
        <v>0</v>
      </c>
      <c r="BD46" s="14">
        <f t="shared" si="18"/>
        <v>0</v>
      </c>
      <c r="BE46" s="14">
        <f t="shared" si="18"/>
        <v>0</v>
      </c>
      <c r="BF46" s="14">
        <f t="shared" si="18"/>
        <v>0</v>
      </c>
      <c r="BG46" s="14">
        <f t="shared" si="18"/>
        <v>0</v>
      </c>
      <c r="BH46" s="14">
        <f t="shared" si="18"/>
        <v>0</v>
      </c>
      <c r="BI46" s="14">
        <f t="shared" si="18"/>
        <v>0</v>
      </c>
      <c r="BJ46" s="14">
        <f t="shared" si="18"/>
        <v>0</v>
      </c>
      <c r="BK46" s="14">
        <f t="shared" si="18"/>
        <v>0</v>
      </c>
      <c r="BL46" s="14">
        <f t="shared" si="18"/>
        <v>0</v>
      </c>
      <c r="BM46" s="14">
        <f t="shared" si="18"/>
        <v>0</v>
      </c>
      <c r="BN46" s="14">
        <f t="shared" si="18"/>
        <v>0</v>
      </c>
      <c r="BO46" s="14">
        <f t="shared" si="18"/>
        <v>0</v>
      </c>
      <c r="BP46" s="14">
        <f t="shared" si="18"/>
        <v>0</v>
      </c>
      <c r="BQ46" s="14">
        <f t="shared" si="18"/>
        <v>0</v>
      </c>
      <c r="BR46" s="14">
        <f t="shared" si="18"/>
        <v>0</v>
      </c>
      <c r="BS46" s="14">
        <f t="shared" si="18"/>
        <v>0</v>
      </c>
      <c r="BT46" s="14">
        <f t="shared" si="18"/>
        <v>0</v>
      </c>
      <c r="BU46" s="14">
        <f t="shared" si="18"/>
        <v>0</v>
      </c>
      <c r="BV46" s="14">
        <f>-(BV18-BA18)</f>
        <v>0</v>
      </c>
      <c r="BW46" s="14">
        <f t="shared" si="18"/>
        <v>0</v>
      </c>
      <c r="BX46" s="14">
        <f t="shared" si="18"/>
        <v>0</v>
      </c>
      <c r="BY46" s="14">
        <f t="shared" si="18"/>
        <v>0</v>
      </c>
      <c r="BZ46" s="14">
        <f t="shared" si="18"/>
        <v>0</v>
      </c>
      <c r="CA46" s="14">
        <f t="shared" si="18"/>
        <v>0</v>
      </c>
      <c r="CB46" s="14">
        <f t="shared" si="18"/>
        <v>0</v>
      </c>
      <c r="CC46" s="14">
        <f t="shared" si="18"/>
        <v>0</v>
      </c>
      <c r="CD46" s="14">
        <f t="shared" si="18"/>
        <v>0</v>
      </c>
      <c r="CE46" s="14">
        <f t="shared" si="18"/>
        <v>0</v>
      </c>
      <c r="CF46" s="14">
        <f t="shared" si="18"/>
        <v>0</v>
      </c>
      <c r="CG46" s="14">
        <f t="shared" si="18"/>
        <v>0</v>
      </c>
      <c r="CH46" s="14">
        <f t="shared" si="18"/>
        <v>0</v>
      </c>
      <c r="CI46" s="14">
        <f t="shared" si="18"/>
        <v>0</v>
      </c>
      <c r="CJ46" s="14">
        <f t="shared" si="18"/>
        <v>0</v>
      </c>
      <c r="CK46" s="14">
        <f t="shared" si="18"/>
        <v>0</v>
      </c>
      <c r="CL46" s="14">
        <f t="shared" si="18"/>
        <v>0</v>
      </c>
      <c r="CM46" s="14">
        <f t="shared" si="18"/>
        <v>0</v>
      </c>
      <c r="CN46" s="14">
        <f t="shared" si="18"/>
        <v>0</v>
      </c>
      <c r="CO46" s="14">
        <f t="shared" si="18"/>
        <v>0</v>
      </c>
      <c r="CP46" s="14">
        <f t="shared" si="18"/>
        <v>0</v>
      </c>
      <c r="CQ46" s="14">
        <f>-(CQ18-BV18)</f>
        <v>0</v>
      </c>
      <c r="CR46" s="14">
        <f t="shared" si="18"/>
        <v>0</v>
      </c>
      <c r="CS46" s="14">
        <f t="shared" si="18"/>
        <v>0</v>
      </c>
      <c r="CT46" s="14">
        <f t="shared" si="18"/>
        <v>0</v>
      </c>
      <c r="CU46" s="14">
        <f t="shared" si="18"/>
        <v>0</v>
      </c>
      <c r="CV46" s="14">
        <f t="shared" si="18"/>
        <v>0</v>
      </c>
      <c r="CW46" s="14">
        <f t="shared" si="18"/>
        <v>0</v>
      </c>
      <c r="CX46" s="14">
        <f t="shared" si="18"/>
        <v>0</v>
      </c>
      <c r="CY46" s="14">
        <f t="shared" si="18"/>
        <v>0</v>
      </c>
      <c r="CZ46" s="14">
        <f t="shared" si="18"/>
        <v>0</v>
      </c>
      <c r="DA46" s="14">
        <f t="shared" si="18"/>
        <v>0</v>
      </c>
      <c r="DB46" s="14">
        <f t="shared" si="18"/>
        <v>0</v>
      </c>
      <c r="DC46" s="14">
        <f t="shared" si="18"/>
        <v>0</v>
      </c>
      <c r="DD46" s="14">
        <f t="shared" si="18"/>
        <v>0</v>
      </c>
      <c r="DE46" s="14">
        <f t="shared" si="18"/>
        <v>0</v>
      </c>
      <c r="DF46" s="14">
        <f t="shared" si="18"/>
        <v>0</v>
      </c>
      <c r="DG46" s="14">
        <f t="shared" si="18"/>
        <v>0</v>
      </c>
      <c r="DH46" s="14">
        <f t="shared" si="18"/>
        <v>0</v>
      </c>
      <c r="DI46" s="14">
        <f t="shared" si="18"/>
        <v>0</v>
      </c>
      <c r="DJ46" s="14">
        <f>-(DJ18-CQ18)</f>
        <v>0</v>
      </c>
      <c r="DK46" s="14">
        <f t="shared" si="18"/>
        <v>0</v>
      </c>
      <c r="DL46" s="14">
        <f t="shared" si="18"/>
        <v>0</v>
      </c>
      <c r="DM46" s="14">
        <f t="shared" si="18"/>
        <v>0</v>
      </c>
      <c r="DN46" s="14">
        <f t="shared" si="18"/>
        <v>0</v>
      </c>
      <c r="DO46" s="14">
        <f t="shared" si="18"/>
        <v>0</v>
      </c>
      <c r="DP46" s="14">
        <f t="shared" si="18"/>
        <v>0</v>
      </c>
      <c r="DQ46" s="14">
        <f t="shared" si="18"/>
        <v>0</v>
      </c>
      <c r="DR46" s="14">
        <f t="shared" si="18"/>
        <v>0</v>
      </c>
      <c r="DS46" s="14">
        <f t="shared" si="18"/>
        <v>0</v>
      </c>
      <c r="DT46" s="14">
        <f t="shared" si="18"/>
        <v>0</v>
      </c>
      <c r="DU46" s="14">
        <f t="shared" si="18"/>
        <v>0</v>
      </c>
      <c r="DV46" s="14">
        <f t="shared" si="18"/>
        <v>0</v>
      </c>
      <c r="DW46" s="14">
        <f t="shared" si="18"/>
        <v>0</v>
      </c>
      <c r="DX46" s="14">
        <f t="shared" si="18"/>
        <v>0</v>
      </c>
      <c r="DY46" s="14">
        <f t="shared" si="18"/>
        <v>0</v>
      </c>
      <c r="DZ46" s="14">
        <f t="shared" si="18"/>
        <v>0</v>
      </c>
      <c r="EA46" s="14">
        <f t="shared" si="18"/>
        <v>0</v>
      </c>
      <c r="EB46" s="14">
        <f t="shared" si="18"/>
        <v>0</v>
      </c>
      <c r="EC46" s="14">
        <f t="shared" si="18"/>
        <v>0</v>
      </c>
      <c r="ED46" s="14">
        <f t="shared" si="18"/>
        <v>0</v>
      </c>
      <c r="EE46" s="14">
        <f>-(EE18-DJ18)</f>
        <v>0</v>
      </c>
      <c r="EF46" s="14">
        <f t="shared" si="18"/>
        <v>0</v>
      </c>
    </row>
    <row r="47" spans="1:136" x14ac:dyDescent="0.3">
      <c r="A47" s="2" t="s">
        <v>18</v>
      </c>
      <c r="B47" s="14"/>
      <c r="C47" s="14">
        <f>-(C19-B19)</f>
        <v>0</v>
      </c>
      <c r="D47" s="14">
        <f t="shared" ref="D47:EF47" si="19">-(D19-C19)</f>
        <v>0</v>
      </c>
      <c r="E47" s="14">
        <f t="shared" si="19"/>
        <v>0</v>
      </c>
      <c r="F47" s="14">
        <f t="shared" si="19"/>
        <v>0</v>
      </c>
      <c r="G47" s="14">
        <f t="shared" si="19"/>
        <v>0</v>
      </c>
      <c r="H47" s="14">
        <f t="shared" si="19"/>
        <v>0</v>
      </c>
      <c r="I47" s="14">
        <f t="shared" si="19"/>
        <v>0</v>
      </c>
      <c r="J47" s="14">
        <f t="shared" si="19"/>
        <v>0</v>
      </c>
      <c r="K47" s="14">
        <f t="shared" si="19"/>
        <v>0</v>
      </c>
      <c r="L47" s="14">
        <f t="shared" si="19"/>
        <v>0</v>
      </c>
      <c r="M47" s="14">
        <f t="shared" si="19"/>
        <v>0</v>
      </c>
      <c r="N47" s="14">
        <f t="shared" si="19"/>
        <v>0</v>
      </c>
      <c r="O47" s="14">
        <f t="shared" si="19"/>
        <v>0</v>
      </c>
      <c r="P47" s="14">
        <f t="shared" si="19"/>
        <v>0</v>
      </c>
      <c r="Q47" s="14">
        <f t="shared" si="19"/>
        <v>0</v>
      </c>
      <c r="R47" s="14">
        <f t="shared" si="19"/>
        <v>0</v>
      </c>
      <c r="S47" s="14">
        <f t="shared" si="19"/>
        <v>0</v>
      </c>
      <c r="T47" s="14">
        <f t="shared" si="19"/>
        <v>0</v>
      </c>
      <c r="U47" s="14">
        <f t="shared" si="19"/>
        <v>0</v>
      </c>
      <c r="V47" s="14">
        <f t="shared" si="19"/>
        <v>0</v>
      </c>
      <c r="W47" s="14">
        <f t="shared" si="19"/>
        <v>0</v>
      </c>
      <c r="X47" s="14">
        <f t="shared" si="19"/>
        <v>0</v>
      </c>
      <c r="Y47" s="14">
        <f t="shared" si="19"/>
        <v>0</v>
      </c>
      <c r="Z47" s="14">
        <f t="shared" si="19"/>
        <v>0</v>
      </c>
      <c r="AA47" s="14">
        <f t="shared" si="19"/>
        <v>0</v>
      </c>
      <c r="AB47" s="14">
        <f t="shared" si="19"/>
        <v>0</v>
      </c>
      <c r="AC47" s="14">
        <f t="shared" si="19"/>
        <v>0</v>
      </c>
      <c r="AD47" s="14">
        <f t="shared" si="19"/>
        <v>0</v>
      </c>
      <c r="AE47" s="14">
        <f t="shared" si="19"/>
        <v>0</v>
      </c>
      <c r="AF47" s="14">
        <f t="shared" si="19"/>
        <v>0</v>
      </c>
      <c r="AG47" s="14">
        <f>-(AG19-N19)</f>
        <v>0</v>
      </c>
      <c r="AH47" s="14">
        <f t="shared" si="19"/>
        <v>0</v>
      </c>
      <c r="AI47" s="14">
        <f t="shared" si="19"/>
        <v>0</v>
      </c>
      <c r="AJ47" s="14">
        <f t="shared" si="19"/>
        <v>0</v>
      </c>
      <c r="AK47" s="14">
        <f t="shared" si="19"/>
        <v>0</v>
      </c>
      <c r="AL47" s="14">
        <f t="shared" si="19"/>
        <v>0</v>
      </c>
      <c r="AM47" s="14">
        <f t="shared" si="19"/>
        <v>0</v>
      </c>
      <c r="AN47" s="14">
        <f t="shared" si="19"/>
        <v>0</v>
      </c>
      <c r="AO47" s="14">
        <f t="shared" si="19"/>
        <v>0</v>
      </c>
      <c r="AP47" s="14">
        <f t="shared" si="19"/>
        <v>0</v>
      </c>
      <c r="AQ47" s="14">
        <f t="shared" si="19"/>
        <v>0</v>
      </c>
      <c r="AR47" s="14">
        <f t="shared" si="19"/>
        <v>0</v>
      </c>
      <c r="AS47" s="14">
        <f t="shared" si="19"/>
        <v>0</v>
      </c>
      <c r="AT47" s="14">
        <f t="shared" si="19"/>
        <v>0</v>
      </c>
      <c r="AU47" s="14">
        <f t="shared" si="19"/>
        <v>0</v>
      </c>
      <c r="AV47" s="14">
        <f t="shared" si="19"/>
        <v>0</v>
      </c>
      <c r="AW47" s="14">
        <f t="shared" si="19"/>
        <v>0</v>
      </c>
      <c r="AX47" s="14">
        <f t="shared" si="19"/>
        <v>0</v>
      </c>
      <c r="AY47" s="14">
        <f t="shared" si="19"/>
        <v>0</v>
      </c>
      <c r="AZ47" s="14">
        <f t="shared" si="19"/>
        <v>0</v>
      </c>
      <c r="BA47" s="14">
        <f>-(BA19-AG19)</f>
        <v>0</v>
      </c>
      <c r="BB47" s="14">
        <f t="shared" si="19"/>
        <v>0</v>
      </c>
      <c r="BC47" s="14">
        <f t="shared" si="19"/>
        <v>0</v>
      </c>
      <c r="BD47" s="14">
        <f t="shared" si="19"/>
        <v>0</v>
      </c>
      <c r="BE47" s="14">
        <f t="shared" si="19"/>
        <v>0</v>
      </c>
      <c r="BF47" s="14">
        <f t="shared" si="19"/>
        <v>0</v>
      </c>
      <c r="BG47" s="14">
        <f t="shared" si="19"/>
        <v>0</v>
      </c>
      <c r="BH47" s="14">
        <f t="shared" si="19"/>
        <v>0</v>
      </c>
      <c r="BI47" s="14">
        <f t="shared" si="19"/>
        <v>0</v>
      </c>
      <c r="BJ47" s="14">
        <f t="shared" si="19"/>
        <v>0</v>
      </c>
      <c r="BK47" s="14">
        <f t="shared" si="19"/>
        <v>0</v>
      </c>
      <c r="BL47" s="14">
        <f t="shared" si="19"/>
        <v>0</v>
      </c>
      <c r="BM47" s="14">
        <f t="shared" si="19"/>
        <v>0</v>
      </c>
      <c r="BN47" s="14">
        <f t="shared" si="19"/>
        <v>0</v>
      </c>
      <c r="BO47" s="14">
        <f t="shared" si="19"/>
        <v>0</v>
      </c>
      <c r="BP47" s="14">
        <f t="shared" si="19"/>
        <v>0</v>
      </c>
      <c r="BQ47" s="14">
        <f t="shared" si="19"/>
        <v>0</v>
      </c>
      <c r="BR47" s="14">
        <f t="shared" si="19"/>
        <v>0</v>
      </c>
      <c r="BS47" s="14">
        <f t="shared" si="19"/>
        <v>0</v>
      </c>
      <c r="BT47" s="14">
        <f t="shared" si="19"/>
        <v>0</v>
      </c>
      <c r="BU47" s="14">
        <f t="shared" si="19"/>
        <v>0</v>
      </c>
      <c r="BV47" s="14">
        <f>-(BV19-BA19)</f>
        <v>0</v>
      </c>
      <c r="BW47" s="14">
        <f t="shared" si="19"/>
        <v>0</v>
      </c>
      <c r="BX47" s="14">
        <f t="shared" si="19"/>
        <v>0</v>
      </c>
      <c r="BY47" s="14">
        <f t="shared" si="19"/>
        <v>0</v>
      </c>
      <c r="BZ47" s="14">
        <f t="shared" si="19"/>
        <v>0</v>
      </c>
      <c r="CA47" s="14">
        <f t="shared" si="19"/>
        <v>0</v>
      </c>
      <c r="CB47" s="14">
        <f t="shared" si="19"/>
        <v>0</v>
      </c>
      <c r="CC47" s="14">
        <f t="shared" si="19"/>
        <v>0</v>
      </c>
      <c r="CD47" s="14">
        <f t="shared" si="19"/>
        <v>0</v>
      </c>
      <c r="CE47" s="14">
        <f t="shared" si="19"/>
        <v>0</v>
      </c>
      <c r="CF47" s="14">
        <f t="shared" si="19"/>
        <v>0</v>
      </c>
      <c r="CG47" s="14">
        <f t="shared" si="19"/>
        <v>0</v>
      </c>
      <c r="CH47" s="14">
        <f t="shared" si="19"/>
        <v>0</v>
      </c>
      <c r="CI47" s="14">
        <f t="shared" si="19"/>
        <v>0</v>
      </c>
      <c r="CJ47" s="14">
        <f t="shared" si="19"/>
        <v>0</v>
      </c>
      <c r="CK47" s="14">
        <f t="shared" si="19"/>
        <v>0</v>
      </c>
      <c r="CL47" s="14">
        <f t="shared" si="19"/>
        <v>0</v>
      </c>
      <c r="CM47" s="14">
        <f t="shared" si="19"/>
        <v>0</v>
      </c>
      <c r="CN47" s="14">
        <f t="shared" si="19"/>
        <v>0</v>
      </c>
      <c r="CO47" s="14">
        <f t="shared" si="19"/>
        <v>0</v>
      </c>
      <c r="CP47" s="14">
        <f t="shared" si="19"/>
        <v>0</v>
      </c>
      <c r="CQ47" s="14">
        <f>-(CQ19-BV19)</f>
        <v>0</v>
      </c>
      <c r="CR47" s="14">
        <f t="shared" si="19"/>
        <v>0</v>
      </c>
      <c r="CS47" s="14">
        <f t="shared" si="19"/>
        <v>0</v>
      </c>
      <c r="CT47" s="14">
        <f t="shared" si="19"/>
        <v>0</v>
      </c>
      <c r="CU47" s="14">
        <f t="shared" si="19"/>
        <v>0</v>
      </c>
      <c r="CV47" s="14">
        <f t="shared" si="19"/>
        <v>0</v>
      </c>
      <c r="CW47" s="14">
        <f t="shared" si="19"/>
        <v>0</v>
      </c>
      <c r="CX47" s="14">
        <f t="shared" si="19"/>
        <v>0</v>
      </c>
      <c r="CY47" s="14">
        <f t="shared" si="19"/>
        <v>0</v>
      </c>
      <c r="CZ47" s="14">
        <f t="shared" si="19"/>
        <v>0</v>
      </c>
      <c r="DA47" s="14">
        <f t="shared" si="19"/>
        <v>0</v>
      </c>
      <c r="DB47" s="14">
        <f t="shared" si="19"/>
        <v>0</v>
      </c>
      <c r="DC47" s="14">
        <f t="shared" si="19"/>
        <v>0</v>
      </c>
      <c r="DD47" s="14">
        <f t="shared" si="19"/>
        <v>0</v>
      </c>
      <c r="DE47" s="14">
        <f t="shared" si="19"/>
        <v>0</v>
      </c>
      <c r="DF47" s="14">
        <f t="shared" si="19"/>
        <v>0</v>
      </c>
      <c r="DG47" s="14">
        <f t="shared" si="19"/>
        <v>0</v>
      </c>
      <c r="DH47" s="14">
        <f t="shared" si="19"/>
        <v>0</v>
      </c>
      <c r="DI47" s="14">
        <f t="shared" si="19"/>
        <v>0</v>
      </c>
      <c r="DJ47" s="14">
        <f>-(DJ19-CQ19)</f>
        <v>0</v>
      </c>
      <c r="DK47" s="14">
        <f t="shared" si="19"/>
        <v>0</v>
      </c>
      <c r="DL47" s="14">
        <f t="shared" si="19"/>
        <v>0</v>
      </c>
      <c r="DM47" s="14">
        <f t="shared" si="19"/>
        <v>0</v>
      </c>
      <c r="DN47" s="14">
        <f t="shared" si="19"/>
        <v>0</v>
      </c>
      <c r="DO47" s="14">
        <f t="shared" si="19"/>
        <v>0</v>
      </c>
      <c r="DP47" s="14">
        <f t="shared" si="19"/>
        <v>0</v>
      </c>
      <c r="DQ47" s="14">
        <f t="shared" si="19"/>
        <v>0</v>
      </c>
      <c r="DR47" s="14">
        <f t="shared" si="19"/>
        <v>0</v>
      </c>
      <c r="DS47" s="14">
        <f t="shared" si="19"/>
        <v>0</v>
      </c>
      <c r="DT47" s="14">
        <f t="shared" si="19"/>
        <v>0</v>
      </c>
      <c r="DU47" s="14">
        <f t="shared" si="19"/>
        <v>0</v>
      </c>
      <c r="DV47" s="14">
        <f t="shared" si="19"/>
        <v>0</v>
      </c>
      <c r="DW47" s="14">
        <f t="shared" si="19"/>
        <v>0</v>
      </c>
      <c r="DX47" s="14">
        <f t="shared" si="19"/>
        <v>0</v>
      </c>
      <c r="DY47" s="14">
        <f t="shared" si="19"/>
        <v>0</v>
      </c>
      <c r="DZ47" s="14">
        <f t="shared" si="19"/>
        <v>0</v>
      </c>
      <c r="EA47" s="14">
        <f t="shared" si="19"/>
        <v>0</v>
      </c>
      <c r="EB47" s="14">
        <f t="shared" si="19"/>
        <v>0</v>
      </c>
      <c r="EC47" s="14">
        <f t="shared" si="19"/>
        <v>0</v>
      </c>
      <c r="ED47" s="14">
        <f t="shared" si="19"/>
        <v>0</v>
      </c>
      <c r="EE47" s="14">
        <f>-(EE19-DJ19)</f>
        <v>0</v>
      </c>
      <c r="EF47" s="14">
        <f t="shared" si="19"/>
        <v>0</v>
      </c>
    </row>
    <row r="48" spans="1:136" x14ac:dyDescent="0.3">
      <c r="A48" s="2" t="s">
        <v>11</v>
      </c>
      <c r="B48" s="14"/>
      <c r="C48" s="14">
        <f>-(C20-B20)</f>
        <v>0</v>
      </c>
      <c r="D48" s="14">
        <f t="shared" ref="D48:EF48" si="20">-(D20-C20)</f>
        <v>0</v>
      </c>
      <c r="E48" s="14">
        <f t="shared" si="20"/>
        <v>0</v>
      </c>
      <c r="F48" s="14">
        <f t="shared" si="20"/>
        <v>0</v>
      </c>
      <c r="G48" s="14">
        <f t="shared" si="20"/>
        <v>0</v>
      </c>
      <c r="H48" s="14">
        <f t="shared" si="20"/>
        <v>0</v>
      </c>
      <c r="I48" s="14">
        <f t="shared" si="20"/>
        <v>0</v>
      </c>
      <c r="J48" s="14">
        <f t="shared" si="20"/>
        <v>0</v>
      </c>
      <c r="K48" s="14">
        <f t="shared" si="20"/>
        <v>0</v>
      </c>
      <c r="L48" s="14">
        <f t="shared" si="20"/>
        <v>0</v>
      </c>
      <c r="M48" s="14">
        <f t="shared" si="20"/>
        <v>0</v>
      </c>
      <c r="N48" s="14">
        <f t="shared" si="20"/>
        <v>0</v>
      </c>
      <c r="O48" s="14">
        <f t="shared" si="20"/>
        <v>0</v>
      </c>
      <c r="P48" s="14">
        <f t="shared" si="20"/>
        <v>0</v>
      </c>
      <c r="Q48" s="14">
        <f t="shared" si="20"/>
        <v>0</v>
      </c>
      <c r="R48" s="14">
        <f t="shared" si="20"/>
        <v>0</v>
      </c>
      <c r="S48" s="14">
        <f t="shared" si="20"/>
        <v>0</v>
      </c>
      <c r="T48" s="14">
        <f t="shared" si="20"/>
        <v>0</v>
      </c>
      <c r="U48" s="14">
        <f t="shared" si="20"/>
        <v>0</v>
      </c>
      <c r="V48" s="14">
        <f t="shared" si="20"/>
        <v>0</v>
      </c>
      <c r="W48" s="14">
        <f t="shared" si="20"/>
        <v>0</v>
      </c>
      <c r="X48" s="14">
        <f t="shared" si="20"/>
        <v>0</v>
      </c>
      <c r="Y48" s="14">
        <f t="shared" si="20"/>
        <v>0</v>
      </c>
      <c r="Z48" s="14">
        <f t="shared" si="20"/>
        <v>0</v>
      </c>
      <c r="AA48" s="14">
        <f t="shared" si="20"/>
        <v>0</v>
      </c>
      <c r="AB48" s="14">
        <f t="shared" si="20"/>
        <v>0</v>
      </c>
      <c r="AC48" s="14">
        <f t="shared" si="20"/>
        <v>0</v>
      </c>
      <c r="AD48" s="14">
        <f t="shared" si="20"/>
        <v>0</v>
      </c>
      <c r="AE48" s="14">
        <f t="shared" si="20"/>
        <v>0</v>
      </c>
      <c r="AF48" s="14">
        <f t="shared" si="20"/>
        <v>0</v>
      </c>
      <c r="AG48" s="14">
        <f>-(AG20-N20)</f>
        <v>0</v>
      </c>
      <c r="AH48" s="14">
        <f t="shared" si="20"/>
        <v>0</v>
      </c>
      <c r="AI48" s="14">
        <f t="shared" si="20"/>
        <v>0</v>
      </c>
      <c r="AJ48" s="14">
        <f t="shared" si="20"/>
        <v>0</v>
      </c>
      <c r="AK48" s="14">
        <f t="shared" si="20"/>
        <v>0</v>
      </c>
      <c r="AL48" s="14">
        <f t="shared" si="20"/>
        <v>0</v>
      </c>
      <c r="AM48" s="14">
        <f t="shared" si="20"/>
        <v>0</v>
      </c>
      <c r="AN48" s="14">
        <f t="shared" si="20"/>
        <v>0</v>
      </c>
      <c r="AO48" s="14">
        <f t="shared" si="20"/>
        <v>0</v>
      </c>
      <c r="AP48" s="14">
        <f t="shared" si="20"/>
        <v>0</v>
      </c>
      <c r="AQ48" s="14">
        <f t="shared" si="20"/>
        <v>0</v>
      </c>
      <c r="AR48" s="14">
        <f t="shared" si="20"/>
        <v>0</v>
      </c>
      <c r="AS48" s="14">
        <f t="shared" si="20"/>
        <v>0</v>
      </c>
      <c r="AT48" s="14">
        <f t="shared" si="20"/>
        <v>0</v>
      </c>
      <c r="AU48" s="14">
        <f t="shared" si="20"/>
        <v>0</v>
      </c>
      <c r="AV48" s="14">
        <f t="shared" si="20"/>
        <v>0</v>
      </c>
      <c r="AW48" s="14">
        <f t="shared" si="20"/>
        <v>0</v>
      </c>
      <c r="AX48" s="14">
        <f t="shared" si="20"/>
        <v>0</v>
      </c>
      <c r="AY48" s="14">
        <f t="shared" si="20"/>
        <v>0</v>
      </c>
      <c r="AZ48" s="14">
        <f t="shared" si="20"/>
        <v>0</v>
      </c>
      <c r="BA48" s="14">
        <f>-(BA20-AG20)</f>
        <v>0</v>
      </c>
      <c r="BB48" s="14">
        <f t="shared" si="20"/>
        <v>0</v>
      </c>
      <c r="BC48" s="14">
        <f t="shared" si="20"/>
        <v>0</v>
      </c>
      <c r="BD48" s="14">
        <f t="shared" si="20"/>
        <v>0</v>
      </c>
      <c r="BE48" s="14">
        <f t="shared" si="20"/>
        <v>0</v>
      </c>
      <c r="BF48" s="14">
        <f t="shared" si="20"/>
        <v>0</v>
      </c>
      <c r="BG48" s="14">
        <f t="shared" si="20"/>
        <v>0</v>
      </c>
      <c r="BH48" s="14">
        <f t="shared" si="20"/>
        <v>0</v>
      </c>
      <c r="BI48" s="14">
        <f t="shared" si="20"/>
        <v>0</v>
      </c>
      <c r="BJ48" s="14">
        <f t="shared" si="20"/>
        <v>0</v>
      </c>
      <c r="BK48" s="14">
        <f t="shared" si="20"/>
        <v>0</v>
      </c>
      <c r="BL48" s="14">
        <f t="shared" si="20"/>
        <v>0</v>
      </c>
      <c r="BM48" s="14">
        <f t="shared" si="20"/>
        <v>0</v>
      </c>
      <c r="BN48" s="14">
        <f t="shared" si="20"/>
        <v>0</v>
      </c>
      <c r="BO48" s="14">
        <f t="shared" si="20"/>
        <v>0</v>
      </c>
      <c r="BP48" s="14">
        <f t="shared" si="20"/>
        <v>0</v>
      </c>
      <c r="BQ48" s="14">
        <f t="shared" si="20"/>
        <v>0</v>
      </c>
      <c r="BR48" s="14">
        <f t="shared" si="20"/>
        <v>0</v>
      </c>
      <c r="BS48" s="14">
        <f t="shared" si="20"/>
        <v>0</v>
      </c>
      <c r="BT48" s="14">
        <f t="shared" si="20"/>
        <v>0</v>
      </c>
      <c r="BU48" s="14">
        <f t="shared" si="20"/>
        <v>0</v>
      </c>
      <c r="BV48" s="14">
        <f>-(BV20-BA20)</f>
        <v>0</v>
      </c>
      <c r="BW48" s="14">
        <f t="shared" si="20"/>
        <v>0</v>
      </c>
      <c r="BX48" s="14">
        <f t="shared" si="20"/>
        <v>0</v>
      </c>
      <c r="BY48" s="14">
        <f t="shared" si="20"/>
        <v>0</v>
      </c>
      <c r="BZ48" s="14">
        <f t="shared" si="20"/>
        <v>0</v>
      </c>
      <c r="CA48" s="14">
        <f t="shared" si="20"/>
        <v>0</v>
      </c>
      <c r="CB48" s="14">
        <f t="shared" si="20"/>
        <v>0</v>
      </c>
      <c r="CC48" s="14">
        <f t="shared" si="20"/>
        <v>0</v>
      </c>
      <c r="CD48" s="14">
        <f t="shared" si="20"/>
        <v>0</v>
      </c>
      <c r="CE48" s="14">
        <f t="shared" si="20"/>
        <v>0</v>
      </c>
      <c r="CF48" s="14">
        <f t="shared" si="20"/>
        <v>0</v>
      </c>
      <c r="CG48" s="14">
        <f t="shared" si="20"/>
        <v>0</v>
      </c>
      <c r="CH48" s="14">
        <f t="shared" si="20"/>
        <v>0</v>
      </c>
      <c r="CI48" s="14">
        <f t="shared" si="20"/>
        <v>0</v>
      </c>
      <c r="CJ48" s="14">
        <f t="shared" si="20"/>
        <v>0</v>
      </c>
      <c r="CK48" s="14">
        <f t="shared" si="20"/>
        <v>0</v>
      </c>
      <c r="CL48" s="14">
        <f t="shared" si="20"/>
        <v>0</v>
      </c>
      <c r="CM48" s="14">
        <f t="shared" si="20"/>
        <v>0</v>
      </c>
      <c r="CN48" s="14">
        <f t="shared" si="20"/>
        <v>0</v>
      </c>
      <c r="CO48" s="14">
        <f t="shared" si="20"/>
        <v>0</v>
      </c>
      <c r="CP48" s="14">
        <f t="shared" si="20"/>
        <v>0</v>
      </c>
      <c r="CQ48" s="14">
        <f>-(CQ20-BV20)</f>
        <v>0</v>
      </c>
      <c r="CR48" s="14">
        <f t="shared" si="20"/>
        <v>0</v>
      </c>
      <c r="CS48" s="14">
        <f t="shared" si="20"/>
        <v>0</v>
      </c>
      <c r="CT48" s="14">
        <f t="shared" si="20"/>
        <v>0</v>
      </c>
      <c r="CU48" s="14">
        <f t="shared" si="20"/>
        <v>0</v>
      </c>
      <c r="CV48" s="14">
        <f t="shared" si="20"/>
        <v>0</v>
      </c>
      <c r="CW48" s="14">
        <f t="shared" si="20"/>
        <v>0</v>
      </c>
      <c r="CX48" s="14">
        <f t="shared" si="20"/>
        <v>0</v>
      </c>
      <c r="CY48" s="14">
        <f t="shared" si="20"/>
        <v>0</v>
      </c>
      <c r="CZ48" s="14">
        <f t="shared" si="20"/>
        <v>0</v>
      </c>
      <c r="DA48" s="14">
        <f t="shared" si="20"/>
        <v>0</v>
      </c>
      <c r="DB48" s="14">
        <f t="shared" si="20"/>
        <v>0</v>
      </c>
      <c r="DC48" s="14">
        <f t="shared" si="20"/>
        <v>0</v>
      </c>
      <c r="DD48" s="14">
        <f t="shared" si="20"/>
        <v>0</v>
      </c>
      <c r="DE48" s="14">
        <f t="shared" si="20"/>
        <v>0</v>
      </c>
      <c r="DF48" s="14">
        <f t="shared" si="20"/>
        <v>0</v>
      </c>
      <c r="DG48" s="14">
        <f t="shared" si="20"/>
        <v>0</v>
      </c>
      <c r="DH48" s="14">
        <f t="shared" si="20"/>
        <v>0</v>
      </c>
      <c r="DI48" s="14">
        <f t="shared" si="20"/>
        <v>0</v>
      </c>
      <c r="DJ48" s="14">
        <f>-(DJ20-CQ20)</f>
        <v>0</v>
      </c>
      <c r="DK48" s="14">
        <f t="shared" si="20"/>
        <v>0</v>
      </c>
      <c r="DL48" s="14">
        <f t="shared" si="20"/>
        <v>0</v>
      </c>
      <c r="DM48" s="14">
        <f t="shared" si="20"/>
        <v>0</v>
      </c>
      <c r="DN48" s="14">
        <f t="shared" si="20"/>
        <v>0</v>
      </c>
      <c r="DO48" s="14">
        <f t="shared" si="20"/>
        <v>0</v>
      </c>
      <c r="DP48" s="14">
        <f t="shared" si="20"/>
        <v>0</v>
      </c>
      <c r="DQ48" s="14">
        <f t="shared" si="20"/>
        <v>0</v>
      </c>
      <c r="DR48" s="14">
        <f t="shared" si="20"/>
        <v>0</v>
      </c>
      <c r="DS48" s="14">
        <f t="shared" si="20"/>
        <v>0</v>
      </c>
      <c r="DT48" s="14">
        <f t="shared" si="20"/>
        <v>0</v>
      </c>
      <c r="DU48" s="14">
        <f t="shared" si="20"/>
        <v>0</v>
      </c>
      <c r="DV48" s="14">
        <f t="shared" si="20"/>
        <v>0</v>
      </c>
      <c r="DW48" s="14">
        <f t="shared" si="20"/>
        <v>0</v>
      </c>
      <c r="DX48" s="14">
        <f t="shared" si="20"/>
        <v>0</v>
      </c>
      <c r="DY48" s="14">
        <f t="shared" si="20"/>
        <v>0</v>
      </c>
      <c r="DZ48" s="14">
        <f t="shared" si="20"/>
        <v>0</v>
      </c>
      <c r="EA48" s="14">
        <f t="shared" si="20"/>
        <v>0</v>
      </c>
      <c r="EB48" s="14">
        <f t="shared" si="20"/>
        <v>0</v>
      </c>
      <c r="EC48" s="14">
        <f t="shared" si="20"/>
        <v>0</v>
      </c>
      <c r="ED48" s="14">
        <f t="shared" si="20"/>
        <v>0</v>
      </c>
      <c r="EE48" s="14">
        <f>-(EE20-DJ20)</f>
        <v>0</v>
      </c>
      <c r="EF48" s="14">
        <f t="shared" si="20"/>
        <v>0</v>
      </c>
    </row>
    <row r="49" spans="1:136" x14ac:dyDescent="0.3">
      <c r="A49" s="1" t="s">
        <v>16</v>
      </c>
      <c r="B49" s="14"/>
      <c r="C49" s="14">
        <f>-(C21-B21)</f>
        <v>0</v>
      </c>
      <c r="D49" s="14">
        <f t="shared" ref="D49:EF49" si="21">-(D21-C21)</f>
        <v>0</v>
      </c>
      <c r="E49" s="14">
        <f t="shared" si="21"/>
        <v>0</v>
      </c>
      <c r="F49" s="14">
        <f t="shared" si="21"/>
        <v>0</v>
      </c>
      <c r="G49" s="14">
        <f t="shared" si="21"/>
        <v>0</v>
      </c>
      <c r="H49" s="14">
        <f t="shared" si="21"/>
        <v>0</v>
      </c>
      <c r="I49" s="14">
        <f t="shared" si="21"/>
        <v>0</v>
      </c>
      <c r="J49" s="14">
        <f t="shared" si="21"/>
        <v>0</v>
      </c>
      <c r="K49" s="14">
        <f t="shared" si="21"/>
        <v>0</v>
      </c>
      <c r="L49" s="14">
        <f t="shared" si="21"/>
        <v>0</v>
      </c>
      <c r="M49" s="14">
        <f t="shared" si="21"/>
        <v>0</v>
      </c>
      <c r="N49" s="14">
        <f t="shared" si="21"/>
        <v>0</v>
      </c>
      <c r="O49" s="14">
        <f t="shared" si="21"/>
        <v>0</v>
      </c>
      <c r="P49" s="14">
        <f t="shared" si="21"/>
        <v>0</v>
      </c>
      <c r="Q49" s="14">
        <f t="shared" si="21"/>
        <v>0</v>
      </c>
      <c r="R49" s="14">
        <f t="shared" si="21"/>
        <v>0</v>
      </c>
      <c r="S49" s="14">
        <f t="shared" si="21"/>
        <v>0</v>
      </c>
      <c r="T49" s="14">
        <f t="shared" si="21"/>
        <v>0</v>
      </c>
      <c r="U49" s="14">
        <f t="shared" si="21"/>
        <v>0</v>
      </c>
      <c r="V49" s="14">
        <f t="shared" si="21"/>
        <v>0</v>
      </c>
      <c r="W49" s="14">
        <f t="shared" si="21"/>
        <v>0</v>
      </c>
      <c r="X49" s="14">
        <f t="shared" si="21"/>
        <v>0</v>
      </c>
      <c r="Y49" s="14">
        <f t="shared" si="21"/>
        <v>0</v>
      </c>
      <c r="Z49" s="14">
        <f t="shared" si="21"/>
        <v>0</v>
      </c>
      <c r="AA49" s="14">
        <f t="shared" si="21"/>
        <v>0</v>
      </c>
      <c r="AB49" s="14">
        <f t="shared" si="21"/>
        <v>0</v>
      </c>
      <c r="AC49" s="14">
        <f t="shared" si="21"/>
        <v>0</v>
      </c>
      <c r="AD49" s="14">
        <f t="shared" si="21"/>
        <v>0</v>
      </c>
      <c r="AE49" s="14">
        <f t="shared" si="21"/>
        <v>0</v>
      </c>
      <c r="AF49" s="14">
        <f t="shared" si="21"/>
        <v>0</v>
      </c>
      <c r="AG49" s="14">
        <f>-(AG21-N21)</f>
        <v>0</v>
      </c>
      <c r="AH49" s="14">
        <f t="shared" si="21"/>
        <v>0</v>
      </c>
      <c r="AI49" s="14">
        <f t="shared" si="21"/>
        <v>0</v>
      </c>
      <c r="AJ49" s="14">
        <f t="shared" si="21"/>
        <v>0</v>
      </c>
      <c r="AK49" s="14">
        <f t="shared" si="21"/>
        <v>0</v>
      </c>
      <c r="AL49" s="14">
        <f t="shared" si="21"/>
        <v>0</v>
      </c>
      <c r="AM49" s="14">
        <f t="shared" si="21"/>
        <v>0</v>
      </c>
      <c r="AN49" s="14">
        <f t="shared" si="21"/>
        <v>0</v>
      </c>
      <c r="AO49" s="14">
        <f t="shared" si="21"/>
        <v>0</v>
      </c>
      <c r="AP49" s="14">
        <f t="shared" si="21"/>
        <v>0</v>
      </c>
      <c r="AQ49" s="14">
        <f t="shared" si="21"/>
        <v>0</v>
      </c>
      <c r="AR49" s="14">
        <f t="shared" si="21"/>
        <v>0</v>
      </c>
      <c r="AS49" s="14">
        <f t="shared" si="21"/>
        <v>0</v>
      </c>
      <c r="AT49" s="14">
        <f t="shared" si="21"/>
        <v>0</v>
      </c>
      <c r="AU49" s="14">
        <f t="shared" si="21"/>
        <v>0</v>
      </c>
      <c r="AV49" s="14">
        <f t="shared" si="21"/>
        <v>0</v>
      </c>
      <c r="AW49" s="14">
        <f t="shared" si="21"/>
        <v>0</v>
      </c>
      <c r="AX49" s="14">
        <f t="shared" si="21"/>
        <v>0</v>
      </c>
      <c r="AY49" s="14">
        <f t="shared" si="21"/>
        <v>0</v>
      </c>
      <c r="AZ49" s="14">
        <f t="shared" si="21"/>
        <v>0</v>
      </c>
      <c r="BA49" s="14">
        <f>-(BA21-AG21)</f>
        <v>0</v>
      </c>
      <c r="BB49" s="14">
        <f t="shared" si="21"/>
        <v>0</v>
      </c>
      <c r="BC49" s="14">
        <f t="shared" si="21"/>
        <v>0</v>
      </c>
      <c r="BD49" s="14">
        <f t="shared" si="21"/>
        <v>0</v>
      </c>
      <c r="BE49" s="14">
        <f t="shared" si="21"/>
        <v>0</v>
      </c>
      <c r="BF49" s="14">
        <f t="shared" si="21"/>
        <v>0</v>
      </c>
      <c r="BG49" s="14">
        <f t="shared" si="21"/>
        <v>0</v>
      </c>
      <c r="BH49" s="14">
        <f t="shared" si="21"/>
        <v>0</v>
      </c>
      <c r="BI49" s="14">
        <f t="shared" si="21"/>
        <v>0</v>
      </c>
      <c r="BJ49" s="14">
        <f t="shared" si="21"/>
        <v>0</v>
      </c>
      <c r="BK49" s="14">
        <f t="shared" si="21"/>
        <v>0</v>
      </c>
      <c r="BL49" s="14">
        <f t="shared" si="21"/>
        <v>0</v>
      </c>
      <c r="BM49" s="14">
        <f t="shared" si="21"/>
        <v>0</v>
      </c>
      <c r="BN49" s="14">
        <f t="shared" si="21"/>
        <v>0</v>
      </c>
      <c r="BO49" s="14">
        <f t="shared" si="21"/>
        <v>0</v>
      </c>
      <c r="BP49" s="14">
        <f t="shared" si="21"/>
        <v>0</v>
      </c>
      <c r="BQ49" s="14">
        <f t="shared" si="21"/>
        <v>0</v>
      </c>
      <c r="BR49" s="14">
        <f t="shared" si="21"/>
        <v>0</v>
      </c>
      <c r="BS49" s="14">
        <f t="shared" si="21"/>
        <v>0</v>
      </c>
      <c r="BT49" s="14">
        <f t="shared" si="21"/>
        <v>0</v>
      </c>
      <c r="BU49" s="14">
        <f t="shared" si="21"/>
        <v>0</v>
      </c>
      <c r="BV49" s="14">
        <f>-(BV21-BA21)</f>
        <v>0</v>
      </c>
      <c r="BW49" s="14">
        <f t="shared" si="21"/>
        <v>0</v>
      </c>
      <c r="BX49" s="14">
        <f t="shared" si="21"/>
        <v>0</v>
      </c>
      <c r="BY49" s="14">
        <f t="shared" si="21"/>
        <v>0</v>
      </c>
      <c r="BZ49" s="14">
        <f t="shared" si="21"/>
        <v>0</v>
      </c>
      <c r="CA49" s="14">
        <f t="shared" si="21"/>
        <v>0</v>
      </c>
      <c r="CB49" s="14">
        <f t="shared" si="21"/>
        <v>0</v>
      </c>
      <c r="CC49" s="14">
        <f t="shared" si="21"/>
        <v>0</v>
      </c>
      <c r="CD49" s="14">
        <f t="shared" si="21"/>
        <v>0</v>
      </c>
      <c r="CE49" s="14">
        <f t="shared" si="21"/>
        <v>0</v>
      </c>
      <c r="CF49" s="14">
        <f t="shared" si="21"/>
        <v>0</v>
      </c>
      <c r="CG49" s="14">
        <f t="shared" si="21"/>
        <v>0</v>
      </c>
      <c r="CH49" s="14">
        <f t="shared" si="21"/>
        <v>0</v>
      </c>
      <c r="CI49" s="14">
        <f t="shared" si="21"/>
        <v>0</v>
      </c>
      <c r="CJ49" s="14">
        <f t="shared" si="21"/>
        <v>0</v>
      </c>
      <c r="CK49" s="14">
        <f t="shared" si="21"/>
        <v>0</v>
      </c>
      <c r="CL49" s="14">
        <f t="shared" si="21"/>
        <v>0</v>
      </c>
      <c r="CM49" s="14">
        <f t="shared" si="21"/>
        <v>0</v>
      </c>
      <c r="CN49" s="14">
        <f t="shared" si="21"/>
        <v>0</v>
      </c>
      <c r="CO49" s="14">
        <f t="shared" si="21"/>
        <v>0</v>
      </c>
      <c r="CP49" s="14">
        <f t="shared" si="21"/>
        <v>0</v>
      </c>
      <c r="CQ49" s="14">
        <f>-(CQ21-BV21)</f>
        <v>0</v>
      </c>
      <c r="CR49" s="14">
        <f t="shared" si="21"/>
        <v>0</v>
      </c>
      <c r="CS49" s="14">
        <f t="shared" si="21"/>
        <v>0</v>
      </c>
      <c r="CT49" s="14">
        <f t="shared" si="21"/>
        <v>0</v>
      </c>
      <c r="CU49" s="14">
        <f t="shared" si="21"/>
        <v>0</v>
      </c>
      <c r="CV49" s="14">
        <f t="shared" si="21"/>
        <v>0</v>
      </c>
      <c r="CW49" s="14">
        <f t="shared" si="21"/>
        <v>0</v>
      </c>
      <c r="CX49" s="14">
        <f t="shared" si="21"/>
        <v>0</v>
      </c>
      <c r="CY49" s="14">
        <f t="shared" si="21"/>
        <v>0</v>
      </c>
      <c r="CZ49" s="14">
        <f t="shared" si="21"/>
        <v>0</v>
      </c>
      <c r="DA49" s="14">
        <f t="shared" si="21"/>
        <v>0</v>
      </c>
      <c r="DB49" s="14">
        <f t="shared" si="21"/>
        <v>0</v>
      </c>
      <c r="DC49" s="14">
        <f t="shared" si="21"/>
        <v>0</v>
      </c>
      <c r="DD49" s="14">
        <f t="shared" si="21"/>
        <v>0</v>
      </c>
      <c r="DE49" s="14">
        <f t="shared" si="21"/>
        <v>0</v>
      </c>
      <c r="DF49" s="14">
        <f t="shared" si="21"/>
        <v>0</v>
      </c>
      <c r="DG49" s="14">
        <f t="shared" si="21"/>
        <v>0</v>
      </c>
      <c r="DH49" s="14">
        <f t="shared" si="21"/>
        <v>0</v>
      </c>
      <c r="DI49" s="14">
        <f t="shared" si="21"/>
        <v>0</v>
      </c>
      <c r="DJ49" s="14">
        <f>-(DJ21-CQ21)</f>
        <v>0</v>
      </c>
      <c r="DK49" s="14">
        <f t="shared" si="21"/>
        <v>0</v>
      </c>
      <c r="DL49" s="14">
        <f t="shared" si="21"/>
        <v>0</v>
      </c>
      <c r="DM49" s="14">
        <f t="shared" si="21"/>
        <v>0</v>
      </c>
      <c r="DN49" s="14">
        <f t="shared" si="21"/>
        <v>0</v>
      </c>
      <c r="DO49" s="14">
        <f t="shared" si="21"/>
        <v>0</v>
      </c>
      <c r="DP49" s="14">
        <f t="shared" si="21"/>
        <v>0</v>
      </c>
      <c r="DQ49" s="14">
        <f t="shared" si="21"/>
        <v>0</v>
      </c>
      <c r="DR49" s="14">
        <f t="shared" si="21"/>
        <v>0</v>
      </c>
      <c r="DS49" s="14">
        <f t="shared" si="21"/>
        <v>0</v>
      </c>
      <c r="DT49" s="14">
        <f t="shared" si="21"/>
        <v>0</v>
      </c>
      <c r="DU49" s="14">
        <f t="shared" si="21"/>
        <v>0</v>
      </c>
      <c r="DV49" s="14">
        <f t="shared" si="21"/>
        <v>0</v>
      </c>
      <c r="DW49" s="14">
        <f t="shared" si="21"/>
        <v>0</v>
      </c>
      <c r="DX49" s="14">
        <f t="shared" si="21"/>
        <v>0</v>
      </c>
      <c r="DY49" s="14">
        <f t="shared" si="21"/>
        <v>0</v>
      </c>
      <c r="DZ49" s="14">
        <f t="shared" si="21"/>
        <v>0</v>
      </c>
      <c r="EA49" s="14">
        <f t="shared" si="21"/>
        <v>0</v>
      </c>
      <c r="EB49" s="14">
        <f t="shared" si="21"/>
        <v>0</v>
      </c>
      <c r="EC49" s="14">
        <f t="shared" si="21"/>
        <v>0</v>
      </c>
      <c r="ED49" s="14">
        <f t="shared" si="21"/>
        <v>0</v>
      </c>
      <c r="EE49" s="14">
        <f>-(EE21-DJ21)</f>
        <v>0</v>
      </c>
      <c r="EF49" s="14">
        <f t="shared" si="21"/>
        <v>0</v>
      </c>
    </row>
    <row r="50" spans="1:136" x14ac:dyDescent="0.3">
      <c r="A50" s="2" t="s">
        <v>20</v>
      </c>
      <c r="B50" s="14"/>
      <c r="C50" s="14">
        <f>C22-B22</f>
        <v>3112.3598051503068</v>
      </c>
      <c r="D50" s="14">
        <f t="shared" ref="D50:EF50" si="22">D22-C22</f>
        <v>-1349.083480299334</v>
      </c>
      <c r="E50" s="14">
        <f t="shared" si="22"/>
        <v>5442.6470919699641</v>
      </c>
      <c r="F50" s="14">
        <f t="shared" si="22"/>
        <v>9151.0655027002795</v>
      </c>
      <c r="G50" s="14">
        <f t="shared" si="22"/>
        <v>-1738.9437389788218</v>
      </c>
      <c r="H50" s="14">
        <f t="shared" si="22"/>
        <v>-2699.339931079885</v>
      </c>
      <c r="I50" s="14">
        <f t="shared" si="22"/>
        <v>-8840.6979586160742</v>
      </c>
      <c r="J50" s="14">
        <f t="shared" si="22"/>
        <v>-7795.5461585068842</v>
      </c>
      <c r="K50" s="14">
        <f t="shared" si="22"/>
        <v>-7970.1339649318252</v>
      </c>
      <c r="L50" s="14">
        <f t="shared" si="22"/>
        <v>-5333.9049153565429</v>
      </c>
      <c r="M50" s="14">
        <f t="shared" si="22"/>
        <v>-10587.045020041289</v>
      </c>
      <c r="N50" s="14">
        <f t="shared" si="22"/>
        <v>-5580.9861013629707</v>
      </c>
      <c r="O50" s="14">
        <f t="shared" si="22"/>
        <v>1063.5933357449248</v>
      </c>
      <c r="P50" s="14">
        <f t="shared" si="22"/>
        <v>-3141.0161329500843</v>
      </c>
      <c r="Q50" s="14">
        <f t="shared" si="22"/>
        <v>2764.8999706779723</v>
      </c>
      <c r="R50" s="14">
        <f t="shared" si="22"/>
        <v>-1214.7578307334334</v>
      </c>
      <c r="S50" s="14">
        <f t="shared" si="22"/>
        <v>2320.2701972444193</v>
      </c>
      <c r="T50" s="14">
        <f t="shared" si="22"/>
        <v>1556.3990370546817</v>
      </c>
      <c r="U50" s="14">
        <f t="shared" si="22"/>
        <v>-2657.6994649691624</v>
      </c>
      <c r="V50" s="14">
        <f t="shared" si="22"/>
        <v>46.650020509376191</v>
      </c>
      <c r="W50" s="14">
        <f t="shared" si="22"/>
        <v>1393.1498605136294</v>
      </c>
      <c r="X50" s="14">
        <f t="shared" si="22"/>
        <v>-1849.4604042187566</v>
      </c>
      <c r="Y50" s="14">
        <f t="shared" si="22"/>
        <v>-527.94330626109149</v>
      </c>
      <c r="Z50" s="14">
        <f t="shared" si="22"/>
        <v>-828.43568730162224</v>
      </c>
      <c r="AA50" s="14">
        <f t="shared" si="22"/>
        <v>0</v>
      </c>
      <c r="AB50" s="14">
        <f t="shared" si="22"/>
        <v>-1972.4278343400219</v>
      </c>
      <c r="AC50" s="14">
        <f t="shared" si="22"/>
        <v>0</v>
      </c>
      <c r="AD50" s="14">
        <f t="shared" si="22"/>
        <v>0</v>
      </c>
      <c r="AE50" s="14">
        <f t="shared" si="22"/>
        <v>0</v>
      </c>
      <c r="AF50" s="14">
        <f t="shared" si="22"/>
        <v>0</v>
      </c>
      <c r="AG50" s="14">
        <f>AG22-N22</f>
        <v>-1849.8868783538928</v>
      </c>
      <c r="AH50" s="14">
        <f t="shared" si="22"/>
        <v>-4770.6414903287077</v>
      </c>
      <c r="AI50" s="14">
        <f t="shared" si="22"/>
        <v>-1470.4990181141766</v>
      </c>
      <c r="AJ50" s="14">
        <f t="shared" si="22"/>
        <v>2743.8681511974428</v>
      </c>
      <c r="AK50" s="14">
        <f t="shared" si="22"/>
        <v>1588.6039215933997</v>
      </c>
      <c r="AL50" s="14">
        <f t="shared" si="22"/>
        <v>399.65107597177848</v>
      </c>
      <c r="AM50" s="14">
        <f t="shared" si="22"/>
        <v>2444.4075453908881</v>
      </c>
      <c r="AN50" s="14">
        <f t="shared" si="22"/>
        <v>-2532.1438687122427</v>
      </c>
      <c r="AO50" s="14">
        <f t="shared" si="22"/>
        <v>22378.172018202371</v>
      </c>
      <c r="AP50" s="14">
        <f t="shared" si="22"/>
        <v>433.00392574351281</v>
      </c>
      <c r="AQ50" s="14">
        <f t="shared" si="22"/>
        <v>-1347.286002038978</v>
      </c>
      <c r="AR50" s="14">
        <f t="shared" si="22"/>
        <v>-228.52685385639779</v>
      </c>
      <c r="AS50" s="14">
        <f t="shared" si="22"/>
        <v>-32.760364426416345</v>
      </c>
      <c r="AT50" s="14">
        <f t="shared" si="22"/>
        <v>857.47425098519307</v>
      </c>
      <c r="AU50" s="14">
        <f t="shared" si="22"/>
        <v>-380.85406079341192</v>
      </c>
      <c r="AV50" s="14">
        <f t="shared" si="22"/>
        <v>5818.6721547549823</v>
      </c>
      <c r="AW50" s="14">
        <f t="shared" si="22"/>
        <v>124.91930975415744</v>
      </c>
      <c r="AX50" s="14">
        <f t="shared" si="22"/>
        <v>433.57346002408303</v>
      </c>
      <c r="AY50" s="14">
        <f t="shared" si="22"/>
        <v>-2244.8281784695573</v>
      </c>
      <c r="AZ50" s="14">
        <f t="shared" si="22"/>
        <v>-818.76287246739957</v>
      </c>
      <c r="BA50" s="14">
        <f>BA22-AG22</f>
        <v>24590.604422155768</v>
      </c>
      <c r="BB50" s="14">
        <f t="shared" si="22"/>
        <v>-3091.4754767735722</v>
      </c>
      <c r="BC50" s="14">
        <f t="shared" si="22"/>
        <v>-1443.9282344669336</v>
      </c>
      <c r="BD50" s="14">
        <f t="shared" si="22"/>
        <v>-2625.8585514837177</v>
      </c>
      <c r="BE50" s="14">
        <f t="shared" si="22"/>
        <v>-1033.9084508031374</v>
      </c>
      <c r="BF50" s="14">
        <f t="shared" si="22"/>
        <v>1950.4513048458612</v>
      </c>
      <c r="BG50" s="14">
        <f t="shared" si="22"/>
        <v>1251.5038150451146</v>
      </c>
      <c r="BH50" s="14">
        <f t="shared" si="22"/>
        <v>3.9840561182936653</v>
      </c>
      <c r="BI50" s="14">
        <f t="shared" si="22"/>
        <v>513.85550999303814</v>
      </c>
      <c r="BJ50" s="14">
        <f t="shared" si="22"/>
        <v>1514.7714805885917</v>
      </c>
      <c r="BK50" s="14">
        <f t="shared" si="22"/>
        <v>702.46875719050877</v>
      </c>
      <c r="BL50" s="14">
        <f t="shared" si="22"/>
        <v>-6436.5653800987639</v>
      </c>
      <c r="BM50" s="14">
        <f t="shared" si="22"/>
        <v>5484.3050437695347</v>
      </c>
      <c r="BN50" s="14">
        <f t="shared" si="22"/>
        <v>477.95877594687045</v>
      </c>
      <c r="BO50" s="14">
        <f t="shared" si="22"/>
        <v>-494.12681474920828</v>
      </c>
      <c r="BP50" s="14">
        <f t="shared" si="22"/>
        <v>-698.62309351644944</v>
      </c>
      <c r="BQ50" s="14">
        <f t="shared" si="22"/>
        <v>715.1908500934951</v>
      </c>
      <c r="BR50" s="14">
        <f t="shared" si="22"/>
        <v>500.09240986977238</v>
      </c>
      <c r="BS50" s="14">
        <f t="shared" si="22"/>
        <v>39.420448270975612</v>
      </c>
      <c r="BT50" s="14">
        <f t="shared" si="22"/>
        <v>-4090.1235600209329</v>
      </c>
      <c r="BU50" s="14">
        <f t="shared" si="22"/>
        <v>603.66596264415421</v>
      </c>
      <c r="BV50" s="14">
        <f>BV22-BA22</f>
        <v>-4627.0604389649816</v>
      </c>
      <c r="BW50" s="14">
        <f t="shared" si="22"/>
        <v>1223.9342303886078</v>
      </c>
      <c r="BX50" s="14">
        <f t="shared" si="22"/>
        <v>170.64759997942019</v>
      </c>
      <c r="BY50" s="14">
        <f t="shared" si="22"/>
        <v>-3673.6719523535576</v>
      </c>
      <c r="BZ50" s="14">
        <f t="shared" si="22"/>
        <v>873.58257716265507</v>
      </c>
      <c r="CA50" s="14">
        <f t="shared" si="22"/>
        <v>-2498.053942781873</v>
      </c>
      <c r="CB50" s="14">
        <f t="shared" si="22"/>
        <v>1528.0973346669925</v>
      </c>
      <c r="CC50" s="14">
        <f t="shared" si="22"/>
        <v>-3572.0185175095685</v>
      </c>
      <c r="CD50" s="14">
        <f t="shared" si="22"/>
        <v>2828.2212305678986</v>
      </c>
      <c r="CE50" s="14">
        <f t="shared" si="22"/>
        <v>-2822.426201498718</v>
      </c>
      <c r="CF50" s="14">
        <f t="shared" si="22"/>
        <v>613.68844067736063</v>
      </c>
      <c r="CG50" s="14">
        <f t="shared" si="22"/>
        <v>633.65039939677808</v>
      </c>
      <c r="CH50" s="14">
        <f t="shared" si="22"/>
        <v>-1875.9910844364204</v>
      </c>
      <c r="CI50" s="14">
        <f t="shared" si="22"/>
        <v>1252.3561983131804</v>
      </c>
      <c r="CJ50" s="14">
        <f t="shared" si="22"/>
        <v>-1243.4558977421839</v>
      </c>
      <c r="CK50" s="14">
        <f t="shared" si="22"/>
        <v>-1299.2093241139082</v>
      </c>
      <c r="CL50" s="14">
        <f t="shared" si="22"/>
        <v>132.6156511947047</v>
      </c>
      <c r="CM50" s="14">
        <f t="shared" si="22"/>
        <v>2877.1305057960562</v>
      </c>
      <c r="CN50" s="14">
        <f t="shared" si="22"/>
        <v>-725.32269721687771</v>
      </c>
      <c r="CO50" s="14">
        <f t="shared" si="22"/>
        <v>469.77874195412733</v>
      </c>
      <c r="CP50" s="14">
        <f t="shared" si="22"/>
        <v>-19242.584524317412</v>
      </c>
      <c r="CQ50" s="14">
        <f t="shared" ref="CQ50:CQ59" si="23">CQ22-BV22</f>
        <v>-16197.092098499765</v>
      </c>
      <c r="CR50" s="14">
        <f t="shared" si="22"/>
        <v>5878.9953266824596</v>
      </c>
      <c r="CS50" s="14">
        <f t="shared" si="22"/>
        <v>-107.49678706226405</v>
      </c>
      <c r="CT50" s="14">
        <f t="shared" si="22"/>
        <v>-611.45104089088272</v>
      </c>
      <c r="CU50" s="14">
        <f t="shared" si="22"/>
        <v>-915.13349420134909</v>
      </c>
      <c r="CV50" s="14">
        <f t="shared" si="22"/>
        <v>3501.657648131717</v>
      </c>
      <c r="CW50" s="14">
        <f t="shared" si="22"/>
        <v>-2965.0043985525845</v>
      </c>
      <c r="CX50" s="14">
        <f t="shared" si="22"/>
        <v>1845.6037836294854</v>
      </c>
      <c r="CY50" s="14">
        <f t="shared" si="22"/>
        <v>-611.01303663803264</v>
      </c>
      <c r="CZ50" s="14">
        <f t="shared" si="22"/>
        <v>2610.3556038304232</v>
      </c>
      <c r="DA50" s="14">
        <f t="shared" si="22"/>
        <v>249.61659876827616</v>
      </c>
      <c r="DB50" s="14">
        <f t="shared" si="22"/>
        <v>-1048.6121292547323</v>
      </c>
      <c r="DC50" s="14">
        <f t="shared" si="22"/>
        <v>4759.4016950053629</v>
      </c>
      <c r="DD50" s="14">
        <f t="shared" si="22"/>
        <v>-2223.7138419382973</v>
      </c>
      <c r="DE50" s="14">
        <f t="shared" si="22"/>
        <v>2074.623338470934</v>
      </c>
      <c r="DF50" s="14">
        <f t="shared" si="22"/>
        <v>-15.434125816449523</v>
      </c>
      <c r="DG50" s="14">
        <f t="shared" si="22"/>
        <v>-4998.1323922084412</v>
      </c>
      <c r="DH50" s="14">
        <f t="shared" si="22"/>
        <v>-132.7874041905161</v>
      </c>
      <c r="DI50" s="14">
        <f t="shared" si="22"/>
        <v>-764.69175973569509</v>
      </c>
      <c r="DJ50" s="14">
        <f t="shared" ref="DJ50:DJ59" si="24">DJ22-CQ22</f>
        <v>5365.246348395478</v>
      </c>
      <c r="DK50" s="14">
        <f t="shared" si="22"/>
        <v>-1591.2308551267488</v>
      </c>
      <c r="DL50" s="14">
        <f t="shared" si="22"/>
        <v>2224.8642381784739</v>
      </c>
      <c r="DM50" s="14">
        <f t="shared" si="22"/>
        <v>11589.189202175708</v>
      </c>
      <c r="DN50" s="14">
        <f t="shared" si="22"/>
        <v>-545.09561517415568</v>
      </c>
      <c r="DO50" s="14">
        <f t="shared" si="22"/>
        <v>364.99933039199095</v>
      </c>
      <c r="DP50" s="14">
        <f t="shared" si="22"/>
        <v>192.15283069503494</v>
      </c>
      <c r="DQ50" s="14">
        <f t="shared" si="22"/>
        <v>-3151.3125945304055</v>
      </c>
      <c r="DR50" s="14">
        <f t="shared" si="22"/>
        <v>1611.9610887495801</v>
      </c>
      <c r="DS50" s="14">
        <f t="shared" si="22"/>
        <v>-2361.2352298649494</v>
      </c>
      <c r="DT50" s="14">
        <f t="shared" si="22"/>
        <v>2926.3524730874924</v>
      </c>
      <c r="DU50" s="14">
        <f t="shared" si="22"/>
        <v>-1428.587944291532</v>
      </c>
      <c r="DV50" s="14">
        <f t="shared" si="22"/>
        <v>-1060.460980729782</v>
      </c>
      <c r="DW50" s="14">
        <f t="shared" si="22"/>
        <v>403.45407332212199</v>
      </c>
      <c r="DX50" s="14">
        <f t="shared" si="22"/>
        <v>-1084.8066509639611</v>
      </c>
      <c r="DY50" s="14">
        <f t="shared" si="22"/>
        <v>-2863.1187022499507</v>
      </c>
      <c r="DZ50" s="14">
        <f t="shared" si="22"/>
        <v>-300.06034286180511</v>
      </c>
      <c r="EA50" s="14">
        <f t="shared" si="22"/>
        <v>-2144.2978400503052</v>
      </c>
      <c r="EB50" s="14">
        <f t="shared" si="22"/>
        <v>1452.8037756988779</v>
      </c>
      <c r="EC50" s="14">
        <f t="shared" si="22"/>
        <v>-1727.223004718544</v>
      </c>
      <c r="ED50" s="14">
        <f t="shared" si="22"/>
        <v>221.01194136147387</v>
      </c>
      <c r="EE50" s="14">
        <f t="shared" ref="EE50:EE59" si="25">EE22-DJ22</f>
        <v>-28506.392525076284</v>
      </c>
      <c r="EF50" s="14">
        <f t="shared" si="22"/>
        <v>22466.381229295162</v>
      </c>
    </row>
    <row r="51" spans="1:136" s="21" customFormat="1" x14ac:dyDescent="0.3">
      <c r="A51" s="19" t="s">
        <v>4</v>
      </c>
      <c r="B51" s="22"/>
      <c r="C51" s="22">
        <f>C23-B23</f>
        <v>-165677.11378010013</v>
      </c>
      <c r="D51" s="22">
        <f t="shared" ref="D51:EF51" si="26">D23-C23</f>
        <v>-30155.64123570011</v>
      </c>
      <c r="E51" s="22">
        <f t="shared" si="26"/>
        <v>87343.032749900129</v>
      </c>
      <c r="F51" s="22">
        <f t="shared" si="26"/>
        <v>-50782.315844200319</v>
      </c>
      <c r="G51" s="22">
        <f t="shared" si="26"/>
        <v>-45451.912054199493</v>
      </c>
      <c r="H51" s="22">
        <f t="shared" si="26"/>
        <v>206045.60410019965</v>
      </c>
      <c r="I51" s="22">
        <f t="shared" si="26"/>
        <v>-155004.3837665997</v>
      </c>
      <c r="J51" s="22">
        <f t="shared" si="26"/>
        <v>92617.412226199871</v>
      </c>
      <c r="K51" s="22">
        <f t="shared" si="26"/>
        <v>129309.50386249973</v>
      </c>
      <c r="L51" s="22">
        <f t="shared" si="26"/>
        <v>-167475.54924020031</v>
      </c>
      <c r="M51" s="22">
        <f t="shared" si="26"/>
        <v>-68478.587260399479</v>
      </c>
      <c r="N51" s="22">
        <f t="shared" si="26"/>
        <v>421991.16740590008</v>
      </c>
      <c r="O51" s="22">
        <f t="shared" si="26"/>
        <v>-444492.36665960029</v>
      </c>
      <c r="P51" s="22">
        <f t="shared" si="26"/>
        <v>-22883.823352899868</v>
      </c>
      <c r="Q51" s="22">
        <f t="shared" si="26"/>
        <v>-22620.51098469994</v>
      </c>
      <c r="R51" s="22">
        <f t="shared" si="26"/>
        <v>-758.52635560021736</v>
      </c>
      <c r="S51" s="22">
        <f t="shared" si="26"/>
        <v>-6134.5829216998536</v>
      </c>
      <c r="T51" s="22">
        <f t="shared" si="26"/>
        <v>-24860.9737209999</v>
      </c>
      <c r="U51" s="22">
        <f t="shared" si="26"/>
        <v>-15752.589502099901</v>
      </c>
      <c r="V51" s="22">
        <f t="shared" si="26"/>
        <v>271088.23023400013</v>
      </c>
      <c r="W51" s="22">
        <f t="shared" si="26"/>
        <v>-12855.798249800457</v>
      </c>
      <c r="X51" s="22">
        <f t="shared" si="26"/>
        <v>-44942.202662499854</v>
      </c>
      <c r="Y51" s="22">
        <f t="shared" si="26"/>
        <v>-61157.672211600235</v>
      </c>
      <c r="Z51" s="22">
        <f t="shared" si="26"/>
        <v>-37414.084301799769</v>
      </c>
      <c r="AA51" s="22">
        <f t="shared" si="26"/>
        <v>82181.623982699821</v>
      </c>
      <c r="AB51" s="22">
        <f t="shared" si="26"/>
        <v>-7714.2840895999689</v>
      </c>
      <c r="AC51" s="22">
        <f t="shared" si="26"/>
        <v>17438.565003600204</v>
      </c>
      <c r="AD51" s="22">
        <f t="shared" si="26"/>
        <v>-7848.9534270002041</v>
      </c>
      <c r="AE51" s="22">
        <f t="shared" si="26"/>
        <v>-33168.713074399857</v>
      </c>
      <c r="AF51" s="22">
        <f t="shared" si="26"/>
        <v>130.61505700019188</v>
      </c>
      <c r="AG51" s="22">
        <f>AG23-N23</f>
        <v>-374218.7729313001</v>
      </c>
      <c r="AH51" s="22">
        <f t="shared" si="26"/>
        <v>38758.812651199987</v>
      </c>
      <c r="AI51" s="22">
        <f t="shared" si="26"/>
        <v>-1635.5864171001595</v>
      </c>
      <c r="AJ51" s="22">
        <f t="shared" si="26"/>
        <v>6414.0160175000783</v>
      </c>
      <c r="AK51" s="22">
        <f t="shared" si="26"/>
        <v>11066.250517400214</v>
      </c>
      <c r="AL51" s="22">
        <f t="shared" si="26"/>
        <v>11477.448218399892</v>
      </c>
      <c r="AM51" s="22">
        <f t="shared" si="26"/>
        <v>-8472.8987968999427</v>
      </c>
      <c r="AN51" s="22">
        <f t="shared" si="26"/>
        <v>-20684.784091499867</v>
      </c>
      <c r="AO51" s="22">
        <f t="shared" si="26"/>
        <v>23507.57536679972</v>
      </c>
      <c r="AP51" s="22">
        <f t="shared" si="26"/>
        <v>20148.715132200159</v>
      </c>
      <c r="AQ51" s="22">
        <f t="shared" si="26"/>
        <v>-1578.4885750003159</v>
      </c>
      <c r="AR51" s="22">
        <f t="shared" si="26"/>
        <v>2883.3986100000329</v>
      </c>
      <c r="AS51" s="22">
        <f t="shared" si="26"/>
        <v>-22337.395172999939</v>
      </c>
      <c r="AT51" s="22">
        <f t="shared" si="26"/>
        <v>-27581.404836499831</v>
      </c>
      <c r="AU51" s="22">
        <f t="shared" si="26"/>
        <v>-28311.304549899884</v>
      </c>
      <c r="AV51" s="22">
        <f t="shared" si="26"/>
        <v>56940.503597899573</v>
      </c>
      <c r="AW51" s="22">
        <f t="shared" si="26"/>
        <v>-4332.1638548995834</v>
      </c>
      <c r="AX51" s="22">
        <f t="shared" si="26"/>
        <v>-12.327566800173372</v>
      </c>
      <c r="AY51" s="22">
        <f t="shared" si="26"/>
        <v>-34208.514533899724</v>
      </c>
      <c r="AZ51" s="22">
        <f t="shared" si="26"/>
        <v>5009.0483642998151</v>
      </c>
      <c r="BA51" s="22">
        <f>BA23-AG23</f>
        <v>44512.035707700066</v>
      </c>
      <c r="BB51" s="22">
        <f t="shared" si="26"/>
        <v>35244.551701699849</v>
      </c>
      <c r="BC51" s="22">
        <f t="shared" si="26"/>
        <v>-332.01427089958452</v>
      </c>
      <c r="BD51" s="22">
        <f t="shared" si="26"/>
        <v>23664.482288299827</v>
      </c>
      <c r="BE51" s="22">
        <f t="shared" si="26"/>
        <v>12901.311311699916</v>
      </c>
      <c r="BF51" s="22">
        <f t="shared" si="26"/>
        <v>12970.218457599869</v>
      </c>
      <c r="BG51" s="22">
        <f t="shared" si="26"/>
        <v>-566.88679949985817</v>
      </c>
      <c r="BH51" s="22">
        <f t="shared" si="26"/>
        <v>14474.587071000133</v>
      </c>
      <c r="BI51" s="22">
        <f t="shared" si="26"/>
        <v>-74909.483904699795</v>
      </c>
      <c r="BJ51" s="22">
        <f t="shared" si="26"/>
        <v>-12899.505011200439</v>
      </c>
      <c r="BK51" s="22">
        <f t="shared" si="26"/>
        <v>13254.026310099987</v>
      </c>
      <c r="BL51" s="22">
        <f t="shared" si="26"/>
        <v>-34695.984848599648</v>
      </c>
      <c r="BM51" s="22">
        <f t="shared" si="26"/>
        <v>39166.030777899781</v>
      </c>
      <c r="BN51" s="22">
        <f t="shared" si="26"/>
        <v>66235.264361299574</v>
      </c>
      <c r="BO51" s="22">
        <f t="shared" si="26"/>
        <v>-32716.310216199839</v>
      </c>
      <c r="BP51" s="22">
        <f t="shared" si="26"/>
        <v>-6878.7321329999249</v>
      </c>
      <c r="BQ51" s="22">
        <f t="shared" si="26"/>
        <v>-6877.8753316998482</v>
      </c>
      <c r="BR51" s="22">
        <f t="shared" si="26"/>
        <v>1671.2382837997284</v>
      </c>
      <c r="BS51" s="22">
        <f t="shared" si="26"/>
        <v>124977.9048505004</v>
      </c>
      <c r="BT51" s="22">
        <f t="shared" si="26"/>
        <v>7859.1396387999412</v>
      </c>
      <c r="BU51" s="22">
        <f t="shared" si="26"/>
        <v>22073.736504699569</v>
      </c>
      <c r="BV51" s="22">
        <f>BV23-BA23</f>
        <v>249835.93582789996</v>
      </c>
      <c r="BW51" s="22">
        <f t="shared" si="26"/>
        <v>1065.6289763997775</v>
      </c>
      <c r="BX51" s="22">
        <f t="shared" si="26"/>
        <v>-261766.57230979973</v>
      </c>
      <c r="BY51" s="22">
        <f t="shared" si="26"/>
        <v>1829.9768665002193</v>
      </c>
      <c r="BZ51" s="22">
        <f t="shared" si="26"/>
        <v>16151.352021099767</v>
      </c>
      <c r="CA51" s="22">
        <f t="shared" si="26"/>
        <v>-2760.964587100083</v>
      </c>
      <c r="CB51" s="22">
        <f t="shared" si="26"/>
        <v>19566.355701100314</v>
      </c>
      <c r="CC51" s="22">
        <f t="shared" si="26"/>
        <v>-40581.507423600182</v>
      </c>
      <c r="CD51" s="22">
        <f t="shared" si="26"/>
        <v>-19902.960955800256</v>
      </c>
      <c r="CE51" s="22">
        <f t="shared" si="26"/>
        <v>-12066.433600000106</v>
      </c>
      <c r="CF51" s="22">
        <f t="shared" si="26"/>
        <v>23480.030777600361</v>
      </c>
      <c r="CG51" s="22">
        <f t="shared" si="26"/>
        <v>5520.1201895000413</v>
      </c>
      <c r="CH51" s="22">
        <f t="shared" si="26"/>
        <v>235636.61535259965</v>
      </c>
      <c r="CI51" s="22">
        <f t="shared" si="26"/>
        <v>-2470.6529285996221</v>
      </c>
      <c r="CJ51" s="22">
        <f t="shared" si="26"/>
        <v>-61890.814421500312</v>
      </c>
      <c r="CK51" s="22">
        <f t="shared" si="26"/>
        <v>-118061.40914380015</v>
      </c>
      <c r="CL51" s="22">
        <f t="shared" si="26"/>
        <v>-23792.27680309955</v>
      </c>
      <c r="CM51" s="22">
        <f t="shared" si="26"/>
        <v>89201.291266900022</v>
      </c>
      <c r="CN51" s="22">
        <f t="shared" si="26"/>
        <v>15332.524931799853</v>
      </c>
      <c r="CO51" s="22">
        <f t="shared" si="26"/>
        <v>-5777.5075044005644</v>
      </c>
      <c r="CP51" s="22">
        <f t="shared" si="26"/>
        <v>286342.86025670124</v>
      </c>
      <c r="CQ51" s="22">
        <f t="shared" si="23"/>
        <v>-181903.88034159993</v>
      </c>
      <c r="CR51" s="22">
        <f t="shared" si="26"/>
        <v>27932.347497399664</v>
      </c>
      <c r="CS51" s="22">
        <f t="shared" si="26"/>
        <v>1797.3659447999671</v>
      </c>
      <c r="CT51" s="22">
        <f t="shared" si="26"/>
        <v>-2950.3798447998706</v>
      </c>
      <c r="CU51" s="22">
        <f t="shared" si="26"/>
        <v>-138442.90598249994</v>
      </c>
      <c r="CV51" s="22">
        <f t="shared" si="26"/>
        <v>-14589.457845799625</v>
      </c>
      <c r="CW51" s="22">
        <f t="shared" si="26"/>
        <v>-1880.5718752003741</v>
      </c>
      <c r="CX51" s="22">
        <f t="shared" si="26"/>
        <v>31742.803657300537</v>
      </c>
      <c r="CY51" s="22">
        <f t="shared" si="26"/>
        <v>248201.90782689955</v>
      </c>
      <c r="CZ51" s="22">
        <f t="shared" si="26"/>
        <v>-6543.5818135996815</v>
      </c>
      <c r="DA51" s="22">
        <f t="shared" si="26"/>
        <v>21255.830369599629</v>
      </c>
      <c r="DB51" s="22">
        <f t="shared" si="26"/>
        <v>-22880.095286899712</v>
      </c>
      <c r="DC51" s="22">
        <f t="shared" si="26"/>
        <v>-21232.467405700125</v>
      </c>
      <c r="DD51" s="22">
        <f t="shared" si="26"/>
        <v>-166744.52169580036</v>
      </c>
      <c r="DE51" s="22">
        <f t="shared" si="26"/>
        <v>-7297.8671294995584</v>
      </c>
      <c r="DF51" s="22">
        <f t="shared" si="26"/>
        <v>35030.07115199999</v>
      </c>
      <c r="DG51" s="22">
        <f t="shared" si="26"/>
        <v>5079.8065863999072</v>
      </c>
      <c r="DH51" s="22">
        <f t="shared" si="26"/>
        <v>4772.6345400998835</v>
      </c>
      <c r="DI51" s="22">
        <f t="shared" si="26"/>
        <v>76641.392699499847</v>
      </c>
      <c r="DJ51" s="22">
        <f t="shared" si="24"/>
        <v>98962.804348500213</v>
      </c>
      <c r="DK51" s="22">
        <f t="shared" si="26"/>
        <v>30597.525325499708</v>
      </c>
      <c r="DL51" s="22">
        <f t="shared" si="26"/>
        <v>9875.6893841000274</v>
      </c>
      <c r="DM51" s="22">
        <f t="shared" si="26"/>
        <v>-105583.1658731997</v>
      </c>
      <c r="DN51" s="22">
        <f t="shared" si="26"/>
        <v>17170.00265799975</v>
      </c>
      <c r="DO51" s="22">
        <f t="shared" si="26"/>
        <v>-6613.7003774996847</v>
      </c>
      <c r="DP51" s="22">
        <f t="shared" si="26"/>
        <v>-39212.627336500678</v>
      </c>
      <c r="DQ51" s="22">
        <f t="shared" si="26"/>
        <v>2237.1385714001954</v>
      </c>
      <c r="DR51" s="22">
        <f t="shared" si="26"/>
        <v>-62186.301261500223</v>
      </c>
      <c r="DS51" s="22">
        <f t="shared" si="26"/>
        <v>2357.3269023003522</v>
      </c>
      <c r="DT51" s="22">
        <f t="shared" si="26"/>
        <v>-8892.7952400001232</v>
      </c>
      <c r="DU51" s="22">
        <f t="shared" si="26"/>
        <v>-16288.241473799804</v>
      </c>
      <c r="DV51" s="22">
        <f t="shared" si="26"/>
        <v>-68053.164751700591</v>
      </c>
      <c r="DW51" s="22">
        <f t="shared" si="26"/>
        <v>210324.72220670036</v>
      </c>
      <c r="DX51" s="22">
        <f t="shared" si="26"/>
        <v>-31166.256699099904</v>
      </c>
      <c r="DY51" s="22">
        <f t="shared" si="26"/>
        <v>-53963.107699699933</v>
      </c>
      <c r="DZ51" s="22">
        <f t="shared" si="26"/>
        <v>1011.2200120997149</v>
      </c>
      <c r="EA51" s="22">
        <f t="shared" si="26"/>
        <v>-7990.5032015996985</v>
      </c>
      <c r="EB51" s="22">
        <f t="shared" si="26"/>
        <v>349795.1918219002</v>
      </c>
      <c r="EC51" s="22">
        <f t="shared" si="26"/>
        <v>-7575.9707572003826</v>
      </c>
      <c r="ED51" s="22">
        <f t="shared" si="26"/>
        <v>24148.369903300423</v>
      </c>
      <c r="EE51" s="22">
        <f t="shared" si="25"/>
        <v>246552.45937009971</v>
      </c>
      <c r="EF51" s="22">
        <f t="shared" si="26"/>
        <v>11962.195782499854</v>
      </c>
    </row>
    <row r="52" spans="1:136" x14ac:dyDescent="0.3">
      <c r="A52" s="2" t="s">
        <v>5</v>
      </c>
      <c r="B52" s="14"/>
      <c r="C52" s="14">
        <f>C24-B24</f>
        <v>-59383.53690019995</v>
      </c>
      <c r="D52" s="14">
        <f t="shared" ref="D52:EF52" si="27">D24-C24</f>
        <v>-6249.2710569000337</v>
      </c>
      <c r="E52" s="14">
        <f t="shared" si="27"/>
        <v>5117.2539635999128</v>
      </c>
      <c r="F52" s="14">
        <f t="shared" si="27"/>
        <v>-5723.7753959000111</v>
      </c>
      <c r="G52" s="14">
        <f t="shared" si="27"/>
        <v>10700.112653400167</v>
      </c>
      <c r="H52" s="14">
        <f t="shared" si="27"/>
        <v>29350.165547099896</v>
      </c>
      <c r="I52" s="14">
        <f t="shared" si="27"/>
        <v>29766.774212200195</v>
      </c>
      <c r="J52" s="14">
        <f t="shared" si="27"/>
        <v>15043.516218799865</v>
      </c>
      <c r="K52" s="14">
        <f t="shared" si="27"/>
        <v>-573.63619839993771</v>
      </c>
      <c r="L52" s="14">
        <f t="shared" si="27"/>
        <v>-6414.8143827001331</v>
      </c>
      <c r="M52" s="14">
        <f t="shared" si="27"/>
        <v>-609.39199600007851</v>
      </c>
      <c r="N52" s="14">
        <f t="shared" si="27"/>
        <v>63895.809786200058</v>
      </c>
      <c r="O52" s="14">
        <f t="shared" si="27"/>
        <v>7943.9741850000573</v>
      </c>
      <c r="P52" s="14">
        <f t="shared" si="27"/>
        <v>-6594.6580148000503</v>
      </c>
      <c r="Q52" s="14">
        <f t="shared" si="27"/>
        <v>-9413.0625449999934</v>
      </c>
      <c r="R52" s="14">
        <f t="shared" si="27"/>
        <v>-6364.6740069000516</v>
      </c>
      <c r="S52" s="14">
        <f t="shared" si="27"/>
        <v>-6749.2719119999092</v>
      </c>
      <c r="T52" s="14">
        <f t="shared" si="27"/>
        <v>-3002.9673099999782</v>
      </c>
      <c r="U52" s="14">
        <f t="shared" si="27"/>
        <v>-4948.3885000000009</v>
      </c>
      <c r="V52" s="14">
        <f t="shared" si="27"/>
        <v>-4256.5381300001172</v>
      </c>
      <c r="W52" s="14">
        <f t="shared" si="27"/>
        <v>-2885.2606707998784</v>
      </c>
      <c r="X52" s="14">
        <f t="shared" si="27"/>
        <v>-700.58972149994224</v>
      </c>
      <c r="Y52" s="14">
        <f t="shared" si="27"/>
        <v>-4007.9556400001748</v>
      </c>
      <c r="Z52" s="14">
        <f t="shared" si="27"/>
        <v>-7949.4020499999169</v>
      </c>
      <c r="AA52" s="14">
        <f t="shared" si="27"/>
        <v>-5609.2009716999019</v>
      </c>
      <c r="AB52" s="14">
        <f t="shared" si="27"/>
        <v>-4821.8754800000461</v>
      </c>
      <c r="AC52" s="14">
        <f t="shared" si="27"/>
        <v>1184.877459299867</v>
      </c>
      <c r="AD52" s="14">
        <f t="shared" si="27"/>
        <v>1678.5835000000661</v>
      </c>
      <c r="AE52" s="14">
        <f t="shared" si="27"/>
        <v>-3235.9551450000145</v>
      </c>
      <c r="AF52" s="14">
        <f t="shared" si="27"/>
        <v>-1783.6679192999145</v>
      </c>
      <c r="AG52" s="14">
        <f>AG24-N24</f>
        <v>-59594.909602699918</v>
      </c>
      <c r="AH52" s="14">
        <f t="shared" si="27"/>
        <v>4940.913611200056</v>
      </c>
      <c r="AI52" s="14">
        <f t="shared" si="27"/>
        <v>2021.6632499999832</v>
      </c>
      <c r="AJ52" s="14">
        <f t="shared" si="27"/>
        <v>3120.8472300000722</v>
      </c>
      <c r="AK52" s="14">
        <f t="shared" si="27"/>
        <v>3973.247999999905</v>
      </c>
      <c r="AL52" s="14">
        <f t="shared" si="27"/>
        <v>4706.6294100000523</v>
      </c>
      <c r="AM52" s="14">
        <f t="shared" si="27"/>
        <v>3246.2570491998922</v>
      </c>
      <c r="AN52" s="14">
        <f t="shared" si="27"/>
        <v>562.77886570000555</v>
      </c>
      <c r="AO52" s="14">
        <f t="shared" si="27"/>
        <v>-2175.8941999999806</v>
      </c>
      <c r="AP52" s="14">
        <f t="shared" si="27"/>
        <v>-10.439869599998929</v>
      </c>
      <c r="AQ52" s="14">
        <f t="shared" si="27"/>
        <v>3615.7531500000041</v>
      </c>
      <c r="AR52" s="14">
        <f t="shared" si="27"/>
        <v>-778.18861909990665</v>
      </c>
      <c r="AS52" s="14">
        <f t="shared" si="27"/>
        <v>-1835.8083690000931</v>
      </c>
      <c r="AT52" s="14">
        <f t="shared" si="27"/>
        <v>-3650.5745299998671</v>
      </c>
      <c r="AU52" s="14">
        <f t="shared" si="27"/>
        <v>-1756.7296980001265</v>
      </c>
      <c r="AV52" s="14">
        <f t="shared" si="27"/>
        <v>-1114.3417999999365</v>
      </c>
      <c r="AW52" s="14">
        <f t="shared" si="27"/>
        <v>-3602.5727799999295</v>
      </c>
      <c r="AX52" s="14">
        <f t="shared" si="27"/>
        <v>-6130.3657000000821</v>
      </c>
      <c r="AY52" s="14">
        <f t="shared" si="27"/>
        <v>-2589.0049800000852</v>
      </c>
      <c r="AZ52" s="14">
        <f t="shared" si="27"/>
        <v>797.34040000010282</v>
      </c>
      <c r="BA52" s="14">
        <f>BA24-AG24</f>
        <v>9148.6989100000355</v>
      </c>
      <c r="BB52" s="14">
        <f t="shared" si="27"/>
        <v>2468.7211169999791</v>
      </c>
      <c r="BC52" s="14">
        <f t="shared" si="27"/>
        <v>3229.2419400000945</v>
      </c>
      <c r="BD52" s="14">
        <f t="shared" si="27"/>
        <v>3932.2064999999711</v>
      </c>
      <c r="BE52" s="14">
        <f t="shared" si="27"/>
        <v>4969.596669999999</v>
      </c>
      <c r="BF52" s="14">
        <f t="shared" si="27"/>
        <v>5402.9410999999382</v>
      </c>
      <c r="BG52" s="14">
        <f t="shared" si="27"/>
        <v>3904.7279016000684</v>
      </c>
      <c r="BH52" s="14">
        <f t="shared" si="27"/>
        <v>3378.1189700000687</v>
      </c>
      <c r="BI52" s="14">
        <f t="shared" si="27"/>
        <v>-391.41345000010915</v>
      </c>
      <c r="BJ52" s="14">
        <f t="shared" si="27"/>
        <v>399.16139999998268</v>
      </c>
      <c r="BK52" s="14">
        <f t="shared" si="27"/>
        <v>3402.1444629000034</v>
      </c>
      <c r="BL52" s="14">
        <f t="shared" si="27"/>
        <v>-518.1902879999252</v>
      </c>
      <c r="BM52" s="14">
        <f t="shared" si="27"/>
        <v>-4718.8390099999961</v>
      </c>
      <c r="BN52" s="14">
        <f t="shared" si="27"/>
        <v>-2970.5470732001122</v>
      </c>
      <c r="BO52" s="14">
        <f t="shared" si="27"/>
        <v>-3249.563367699855</v>
      </c>
      <c r="BP52" s="14">
        <f t="shared" si="27"/>
        <v>-462.62531980010681</v>
      </c>
      <c r="BQ52" s="14">
        <f t="shared" si="27"/>
        <v>-4674.1606450000545</v>
      </c>
      <c r="BR52" s="14">
        <f t="shared" si="27"/>
        <v>-6756.3263243999099</v>
      </c>
      <c r="BS52" s="14">
        <f t="shared" si="27"/>
        <v>-3958.7194263999118</v>
      </c>
      <c r="BT52" s="14">
        <f t="shared" si="27"/>
        <v>-3008.1043000001227</v>
      </c>
      <c r="BU52" s="14">
        <f t="shared" si="27"/>
        <v>1728.7613119999878</v>
      </c>
      <c r="BV52" s="14">
        <f>BV24-BA24</f>
        <v>3681.7146454999456</v>
      </c>
      <c r="BW52" s="14">
        <f t="shared" si="27"/>
        <v>1577.3674700000556</v>
      </c>
      <c r="BX52" s="14">
        <f t="shared" si="27"/>
        <v>3287.9046200001612</v>
      </c>
      <c r="BY52" s="14">
        <f t="shared" si="27"/>
        <v>4372.5444399998523</v>
      </c>
      <c r="BZ52" s="14">
        <f t="shared" si="27"/>
        <v>9484.772846100037</v>
      </c>
      <c r="CA52" s="14">
        <f t="shared" si="27"/>
        <v>3844.5725000000093</v>
      </c>
      <c r="CB52" s="14">
        <f t="shared" si="27"/>
        <v>1188.8982199999737</v>
      </c>
      <c r="CC52" s="14">
        <f t="shared" si="27"/>
        <v>870.95752569998149</v>
      </c>
      <c r="CD52" s="14">
        <f t="shared" si="27"/>
        <v>385.16746099991724</v>
      </c>
      <c r="CE52" s="14">
        <f t="shared" si="27"/>
        <v>4915.8548645001138</v>
      </c>
      <c r="CF52" s="14">
        <f t="shared" si="27"/>
        <v>1945.8004320000764</v>
      </c>
      <c r="CG52" s="14">
        <f t="shared" si="27"/>
        <v>-53.226020000060089</v>
      </c>
      <c r="CH52" s="14">
        <f t="shared" si="27"/>
        <v>-97.698149000061676</v>
      </c>
      <c r="CI52" s="14">
        <f t="shared" si="27"/>
        <v>993.33091010001954</v>
      </c>
      <c r="CJ52" s="14">
        <f t="shared" si="27"/>
        <v>2478.9642999999924</v>
      </c>
      <c r="CK52" s="14">
        <f t="shared" si="27"/>
        <v>-1599.0427082000533</v>
      </c>
      <c r="CL52" s="14">
        <f t="shared" si="27"/>
        <v>-3497.5197707999032</v>
      </c>
      <c r="CM52" s="14">
        <f t="shared" si="27"/>
        <v>-1653.0972799999872</v>
      </c>
      <c r="CN52" s="14">
        <f t="shared" si="27"/>
        <v>20.910914600011893</v>
      </c>
      <c r="CO52" s="14">
        <f t="shared" si="27"/>
        <v>-5135.3078141000587</v>
      </c>
      <c r="CP52" s="14">
        <f t="shared" si="27"/>
        <v>-2825.2927857999457</v>
      </c>
      <c r="CQ52" s="14">
        <f t="shared" si="23"/>
        <v>25376.870561200194</v>
      </c>
      <c r="CR52" s="14">
        <f t="shared" si="27"/>
        <v>6251.9267999998992</v>
      </c>
      <c r="CS52" s="14">
        <f t="shared" si="27"/>
        <v>5779.415059999912</v>
      </c>
      <c r="CT52" s="14">
        <f t="shared" si="27"/>
        <v>4730.0466900001047</v>
      </c>
      <c r="CU52" s="14">
        <f t="shared" si="27"/>
        <v>2399.1874933999497</v>
      </c>
      <c r="CV52" s="14">
        <f t="shared" si="27"/>
        <v>6484.6996450000443</v>
      </c>
      <c r="CW52" s="14">
        <f t="shared" si="27"/>
        <v>6998.7435490000062</v>
      </c>
      <c r="CX52" s="14">
        <f t="shared" si="27"/>
        <v>-1370.9486318001291</v>
      </c>
      <c r="CY52" s="14">
        <f t="shared" si="27"/>
        <v>-3458.5851284998935</v>
      </c>
      <c r="CZ52" s="14">
        <f t="shared" si="27"/>
        <v>-1177.8689599999925</v>
      </c>
      <c r="DA52" s="14">
        <f t="shared" si="27"/>
        <v>1682.5792720000027</v>
      </c>
      <c r="DB52" s="14">
        <f t="shared" si="27"/>
        <v>-318.49509000009857</v>
      </c>
      <c r="DC52" s="14">
        <f t="shared" si="27"/>
        <v>-3445.9144439999945</v>
      </c>
      <c r="DD52" s="14">
        <f t="shared" si="27"/>
        <v>-2541.229157099966</v>
      </c>
      <c r="DE52" s="14">
        <f t="shared" si="27"/>
        <v>-3439.8505121999187</v>
      </c>
      <c r="DF52" s="14">
        <f t="shared" si="27"/>
        <v>-548.74891680001747</v>
      </c>
      <c r="DG52" s="14">
        <f t="shared" si="27"/>
        <v>-453.16561000002548</v>
      </c>
      <c r="DH52" s="14">
        <f t="shared" si="27"/>
        <v>-1278.7394290000666</v>
      </c>
      <c r="DI52" s="14">
        <f t="shared" si="27"/>
        <v>-548.03113000001758</v>
      </c>
      <c r="DJ52" s="14">
        <f t="shared" si="24"/>
        <v>19645.512099999818</v>
      </c>
      <c r="DK52" s="14">
        <f t="shared" si="27"/>
        <v>2187.9554563000565</v>
      </c>
      <c r="DL52" s="14">
        <f t="shared" si="27"/>
        <v>1668.5928090000525</v>
      </c>
      <c r="DM52" s="14">
        <f t="shared" si="27"/>
        <v>4264.9579949999461</v>
      </c>
      <c r="DN52" s="14">
        <f t="shared" si="27"/>
        <v>3505.8373150000116</v>
      </c>
      <c r="DO52" s="14">
        <f t="shared" si="27"/>
        <v>7553.9868400000269</v>
      </c>
      <c r="DP52" s="14">
        <f t="shared" si="27"/>
        <v>5089.5307359000435</v>
      </c>
      <c r="DQ52" s="14">
        <f t="shared" si="27"/>
        <v>2285.5182099997764</v>
      </c>
      <c r="DR52" s="14">
        <f t="shared" si="27"/>
        <v>-1067.3267070000293</v>
      </c>
      <c r="DS52" s="14">
        <f t="shared" si="27"/>
        <v>-359.91553999995813</v>
      </c>
      <c r="DT52" s="14">
        <f t="shared" si="27"/>
        <v>3104.0135451999959</v>
      </c>
      <c r="DU52" s="14">
        <f t="shared" si="27"/>
        <v>1759.9173720999388</v>
      </c>
      <c r="DV52" s="14">
        <f t="shared" si="27"/>
        <v>-1666.7467216999503</v>
      </c>
      <c r="DW52" s="14">
        <f t="shared" si="27"/>
        <v>-694.50288999988697</v>
      </c>
      <c r="DX52" s="14">
        <f t="shared" si="27"/>
        <v>-2032.0082967000781</v>
      </c>
      <c r="DY52" s="14">
        <f t="shared" si="27"/>
        <v>77.209360699984245</v>
      </c>
      <c r="DZ52" s="14">
        <f t="shared" si="27"/>
        <v>-2568.0415398000041</v>
      </c>
      <c r="EA52" s="14">
        <f t="shared" si="27"/>
        <v>-5413.420587999979</v>
      </c>
      <c r="EB52" s="14">
        <f t="shared" si="27"/>
        <v>-1695.2299950999441</v>
      </c>
      <c r="EC52" s="14">
        <f t="shared" si="27"/>
        <v>639.79169999994338</v>
      </c>
      <c r="ED52" s="14">
        <f t="shared" si="27"/>
        <v>4561.8102299999446</v>
      </c>
      <c r="EE52" s="14">
        <f t="shared" si="25"/>
        <v>24944.860701899976</v>
      </c>
      <c r="EF52" s="14">
        <f t="shared" si="27"/>
        <v>2724.3266199999489</v>
      </c>
    </row>
    <row r="53" spans="1:136" x14ac:dyDescent="0.3">
      <c r="A53" s="1" t="s">
        <v>14</v>
      </c>
      <c r="B53" s="14"/>
      <c r="C53" s="14">
        <f>C25-B25</f>
        <v>-86833.387378500018</v>
      </c>
      <c r="D53" s="14">
        <f t="shared" ref="D53:EF53" si="28">D25-C25</f>
        <v>-6423.7477292000549</v>
      </c>
      <c r="E53" s="14">
        <f t="shared" si="28"/>
        <v>104190.77689190005</v>
      </c>
      <c r="F53" s="14">
        <f t="shared" si="28"/>
        <v>-13755.373870600015</v>
      </c>
      <c r="G53" s="14">
        <f t="shared" si="28"/>
        <v>-62899.059523999982</v>
      </c>
      <c r="H53" s="14">
        <f t="shared" si="28"/>
        <v>161659.50203940005</v>
      </c>
      <c r="I53" s="14">
        <f t="shared" si="28"/>
        <v>-194186.03518180002</v>
      </c>
      <c r="J53" s="14">
        <f t="shared" si="28"/>
        <v>42507.642136799986</v>
      </c>
      <c r="K53" s="14">
        <f t="shared" si="28"/>
        <v>171522.90170999995</v>
      </c>
      <c r="L53" s="14">
        <f t="shared" si="28"/>
        <v>-165803.56981310004</v>
      </c>
      <c r="M53" s="14">
        <f t="shared" si="28"/>
        <v>-64512.850659299933</v>
      </c>
      <c r="N53" s="14">
        <f t="shared" si="28"/>
        <v>289788.88849200011</v>
      </c>
      <c r="O53" s="14">
        <f t="shared" si="28"/>
        <v>-375854.5783671001</v>
      </c>
      <c r="P53" s="14">
        <f t="shared" si="28"/>
        <v>-12065.274747899995</v>
      </c>
      <c r="Q53" s="14">
        <f t="shared" si="28"/>
        <v>-10292.89456049999</v>
      </c>
      <c r="R53" s="14">
        <f t="shared" si="28"/>
        <v>1703.3792531999934</v>
      </c>
      <c r="S53" s="14">
        <f t="shared" si="28"/>
        <v>5445.1758210000116</v>
      </c>
      <c r="T53" s="14">
        <f t="shared" si="28"/>
        <v>-21817.426848000032</v>
      </c>
      <c r="U53" s="14">
        <f t="shared" si="28"/>
        <v>-10775.269815200008</v>
      </c>
      <c r="V53" s="14">
        <f t="shared" si="28"/>
        <v>270749.45561339997</v>
      </c>
      <c r="W53" s="14">
        <f t="shared" si="28"/>
        <v>-10911.652830299921</v>
      </c>
      <c r="X53" s="14">
        <f t="shared" si="28"/>
        <v>-53720.688502800069</v>
      </c>
      <c r="Y53" s="14">
        <f t="shared" si="28"/>
        <v>-58898.708637500007</v>
      </c>
      <c r="Z53" s="14">
        <f t="shared" si="28"/>
        <v>-26109.150300999929</v>
      </c>
      <c r="AA53" s="14">
        <f t="shared" si="28"/>
        <v>91415.706947400002</v>
      </c>
      <c r="AB53" s="14">
        <f t="shared" si="28"/>
        <v>-22835.155130000028</v>
      </c>
      <c r="AC53" s="14">
        <f t="shared" si="28"/>
        <v>13820.89095770003</v>
      </c>
      <c r="AD53" s="14">
        <f t="shared" si="28"/>
        <v>15402.423107499955</v>
      </c>
      <c r="AE53" s="14">
        <f t="shared" si="28"/>
        <v>-30605.470574699983</v>
      </c>
      <c r="AF53" s="14">
        <f t="shared" si="28"/>
        <v>-664.99260130000766</v>
      </c>
      <c r="AG53" s="14">
        <f>AG25-N25</f>
        <v>-240221.99880990008</v>
      </c>
      <c r="AH53" s="14">
        <f t="shared" si="28"/>
        <v>37914.140076800017</v>
      </c>
      <c r="AI53" s="14">
        <f t="shared" si="28"/>
        <v>-8525.6317009000923</v>
      </c>
      <c r="AJ53" s="14">
        <f t="shared" si="28"/>
        <v>5686.3030322000268</v>
      </c>
      <c r="AK53" s="14">
        <f t="shared" si="28"/>
        <v>8847.5141062000184</v>
      </c>
      <c r="AL53" s="14">
        <f t="shared" si="28"/>
        <v>6489.4581387999933</v>
      </c>
      <c r="AM53" s="14">
        <f t="shared" si="28"/>
        <v>-5416.9468660999555</v>
      </c>
      <c r="AN53" s="14">
        <f t="shared" si="28"/>
        <v>-25232.576580100053</v>
      </c>
      <c r="AO53" s="14">
        <f t="shared" si="28"/>
        <v>18574.222176900017</v>
      </c>
      <c r="AP53" s="14">
        <f t="shared" si="28"/>
        <v>10913.130180599983</v>
      </c>
      <c r="AQ53" s="14">
        <f t="shared" si="28"/>
        <v>-7677.0521187999984</v>
      </c>
      <c r="AR53" s="14">
        <f t="shared" si="28"/>
        <v>-37.993324899987783</v>
      </c>
      <c r="AS53" s="14">
        <f t="shared" si="28"/>
        <v>-7274.3405135000357</v>
      </c>
      <c r="AT53" s="14">
        <f t="shared" si="28"/>
        <v>-20510.963977199921</v>
      </c>
      <c r="AU53" s="14">
        <f t="shared" si="28"/>
        <v>-34548.278706800076</v>
      </c>
      <c r="AV53" s="14">
        <f t="shared" si="28"/>
        <v>60580.715411600017</v>
      </c>
      <c r="AW53" s="14">
        <f t="shared" si="28"/>
        <v>21.78798680001637</v>
      </c>
      <c r="AX53" s="14">
        <f t="shared" si="28"/>
        <v>10300.192657900043</v>
      </c>
      <c r="AY53" s="14">
        <f t="shared" si="28"/>
        <v>-34949.813849200029</v>
      </c>
      <c r="AZ53" s="14">
        <f t="shared" si="28"/>
        <v>-1481.4371674000286</v>
      </c>
      <c r="BA53" s="14">
        <f>BA25-AG25</f>
        <v>9976.3047936999355</v>
      </c>
      <c r="BB53" s="14">
        <f t="shared" si="28"/>
        <v>48524.104990200023</v>
      </c>
      <c r="BC53" s="14">
        <f t="shared" si="28"/>
        <v>-2302.3921491000219</v>
      </c>
      <c r="BD53" s="14">
        <f t="shared" si="28"/>
        <v>14640.350035500014</v>
      </c>
      <c r="BE53" s="14">
        <f t="shared" si="28"/>
        <v>8867.5538342999644</v>
      </c>
      <c r="BF53" s="14">
        <f t="shared" si="28"/>
        <v>9802.9048640999827</v>
      </c>
      <c r="BG53" s="14">
        <f t="shared" si="28"/>
        <v>-4025.8118751998991</v>
      </c>
      <c r="BH53" s="14">
        <f t="shared" si="28"/>
        <v>-254.17741930007469</v>
      </c>
      <c r="BI53" s="14">
        <f t="shared" si="28"/>
        <v>-70699.665899299958</v>
      </c>
      <c r="BJ53" s="14">
        <f t="shared" si="28"/>
        <v>-7162.3178785000346</v>
      </c>
      <c r="BK53" s="14">
        <f t="shared" si="28"/>
        <v>2764.9686574999942</v>
      </c>
      <c r="BL53" s="14">
        <f t="shared" si="28"/>
        <v>-26503.697948699992</v>
      </c>
      <c r="BM53" s="14">
        <f t="shared" si="28"/>
        <v>40589.335371100053</v>
      </c>
      <c r="BN53" s="14">
        <f t="shared" si="28"/>
        <v>30671.685402099974</v>
      </c>
      <c r="BO53" s="14">
        <f t="shared" si="28"/>
        <v>3011.5378315999988</v>
      </c>
      <c r="BP53" s="14">
        <f t="shared" si="28"/>
        <v>-7279.3607680000132</v>
      </c>
      <c r="BQ53" s="14">
        <f t="shared" si="28"/>
        <v>2979.9947983000311</v>
      </c>
      <c r="BR53" s="14">
        <f t="shared" si="28"/>
        <v>6241.734260600002</v>
      </c>
      <c r="BS53" s="14">
        <f t="shared" si="28"/>
        <v>121248.14422849996</v>
      </c>
      <c r="BT53" s="14">
        <f t="shared" si="28"/>
        <v>12985.118300100032</v>
      </c>
      <c r="BU53" s="14">
        <f t="shared" si="28"/>
        <v>-1772.5704159000306</v>
      </c>
      <c r="BV53" s="14">
        <f>BV25-BA25</f>
        <v>201273.15594169998</v>
      </c>
      <c r="BW53" s="14">
        <f t="shared" si="28"/>
        <v>34413.296820900054</v>
      </c>
      <c r="BX53" s="14">
        <f t="shared" si="28"/>
        <v>-267685.40614949999</v>
      </c>
      <c r="BY53" s="14">
        <f t="shared" si="28"/>
        <v>-848.16614330001175</v>
      </c>
      <c r="BZ53" s="14">
        <f t="shared" si="28"/>
        <v>7443.5522263000021</v>
      </c>
      <c r="CA53" s="14">
        <f t="shared" si="28"/>
        <v>-3485.726429500035</v>
      </c>
      <c r="CB53" s="14">
        <f t="shared" si="28"/>
        <v>24807.756106899993</v>
      </c>
      <c r="CC53" s="14">
        <f t="shared" si="28"/>
        <v>-45503.184057299979</v>
      </c>
      <c r="CD53" s="14">
        <f t="shared" si="28"/>
        <v>-11364.371770399972</v>
      </c>
      <c r="CE53" s="14">
        <f t="shared" si="28"/>
        <v>-18589.467059000046</v>
      </c>
      <c r="CF53" s="14">
        <f t="shared" si="28"/>
        <v>17470.203466899984</v>
      </c>
      <c r="CG53" s="14">
        <f t="shared" si="28"/>
        <v>9066.1474663000554</v>
      </c>
      <c r="CH53" s="14">
        <f t="shared" si="28"/>
        <v>239381.2378996</v>
      </c>
      <c r="CI53" s="14">
        <f t="shared" si="28"/>
        <v>-26101.3171707</v>
      </c>
      <c r="CJ53" s="14">
        <f t="shared" si="28"/>
        <v>-71423.320449800056</v>
      </c>
      <c r="CK53" s="14">
        <f t="shared" si="28"/>
        <v>-118588.08231209998</v>
      </c>
      <c r="CL53" s="14">
        <f t="shared" si="28"/>
        <v>-9876.097602899943</v>
      </c>
      <c r="CM53" s="14">
        <f t="shared" si="28"/>
        <v>99871.010518899944</v>
      </c>
      <c r="CN53" s="14">
        <f t="shared" si="28"/>
        <v>12725.04620620003</v>
      </c>
      <c r="CO53" s="14">
        <f t="shared" si="28"/>
        <v>5503.1101556999492</v>
      </c>
      <c r="CP53" s="14">
        <f t="shared" si="28"/>
        <v>288233.44701380009</v>
      </c>
      <c r="CQ53" s="14">
        <f t="shared" si="23"/>
        <v>-179473.14182249998</v>
      </c>
      <c r="CR53" s="14">
        <f t="shared" si="28"/>
        <v>37553.386899400037</v>
      </c>
      <c r="CS53" s="14">
        <f t="shared" si="28"/>
        <v>-2753.7565599000663</v>
      </c>
      <c r="CT53" s="14">
        <f t="shared" si="28"/>
        <v>-3143.1165049999836</v>
      </c>
      <c r="CU53" s="14">
        <f t="shared" si="28"/>
        <v>-142772.12642779996</v>
      </c>
      <c r="CV53" s="14">
        <f t="shared" si="28"/>
        <v>-22436.280804500013</v>
      </c>
      <c r="CW53" s="14">
        <f t="shared" si="28"/>
        <v>-6922.2080867000041</v>
      </c>
      <c r="CX53" s="14">
        <f t="shared" si="28"/>
        <v>24497.04661640001</v>
      </c>
      <c r="CY53" s="14">
        <f t="shared" si="28"/>
        <v>250859.53362350003</v>
      </c>
      <c r="CZ53" s="14">
        <f t="shared" si="28"/>
        <v>-5938.6390454000211</v>
      </c>
      <c r="DA53" s="14">
        <f t="shared" si="28"/>
        <v>25168.068174299959</v>
      </c>
      <c r="DB53" s="14">
        <f t="shared" si="28"/>
        <v>-25920.295893300034</v>
      </c>
      <c r="DC53" s="14">
        <f t="shared" si="28"/>
        <v>-16718.908652899903</v>
      </c>
      <c r="DD53" s="14">
        <f t="shared" si="28"/>
        <v>-165498.91385700001</v>
      </c>
      <c r="DE53" s="14">
        <f t="shared" si="28"/>
        <v>722.05383859999711</v>
      </c>
      <c r="DF53" s="14">
        <f t="shared" si="28"/>
        <v>28525.497103000002</v>
      </c>
      <c r="DG53" s="14">
        <f t="shared" si="28"/>
        <v>267.95728699996835</v>
      </c>
      <c r="DH53" s="14">
        <f t="shared" si="28"/>
        <v>6545.5103175000404</v>
      </c>
      <c r="DI53" s="14">
        <f t="shared" si="28"/>
        <v>85440.215631599945</v>
      </c>
      <c r="DJ53" s="14">
        <f t="shared" si="24"/>
        <v>63042.438406800036</v>
      </c>
      <c r="DK53" s="14">
        <f t="shared" si="28"/>
        <v>55460.536659099977</v>
      </c>
      <c r="DL53" s="14">
        <f t="shared" si="28"/>
        <v>13499.380751600023</v>
      </c>
      <c r="DM53" s="14">
        <f t="shared" si="28"/>
        <v>-120410.16506980004</v>
      </c>
      <c r="DN53" s="14">
        <f t="shared" si="28"/>
        <v>23421.459395300015</v>
      </c>
      <c r="DO53" s="14">
        <f t="shared" si="28"/>
        <v>-9827.7777755999705</v>
      </c>
      <c r="DP53" s="14">
        <f t="shared" si="28"/>
        <v>-41335.893876900023</v>
      </c>
      <c r="DQ53" s="14">
        <f t="shared" si="28"/>
        <v>-6456.0977102999459</v>
      </c>
      <c r="DR53" s="14">
        <f t="shared" si="28"/>
        <v>-72319.285846400016</v>
      </c>
      <c r="DS53" s="14">
        <f t="shared" si="28"/>
        <v>594.03811409999616</v>
      </c>
      <c r="DT53" s="14">
        <f t="shared" si="28"/>
        <v>-12412.640781700029</v>
      </c>
      <c r="DU53" s="14">
        <f t="shared" si="28"/>
        <v>-22204.301458200003</v>
      </c>
      <c r="DV53" s="14">
        <f t="shared" si="28"/>
        <v>-64482.041973899992</v>
      </c>
      <c r="DW53" s="14">
        <f t="shared" si="28"/>
        <v>208779.36591910003</v>
      </c>
      <c r="DX53" s="14">
        <f t="shared" si="28"/>
        <v>-30137.706936599978</v>
      </c>
      <c r="DY53" s="14">
        <f t="shared" si="28"/>
        <v>-59659.339278900065</v>
      </c>
      <c r="DZ53" s="14">
        <f t="shared" si="28"/>
        <v>-8479.7413644000189</v>
      </c>
      <c r="EA53" s="14">
        <f t="shared" si="28"/>
        <v>1366.1871679999749</v>
      </c>
      <c r="EB53" s="14">
        <f t="shared" si="28"/>
        <v>349244.0697147001</v>
      </c>
      <c r="EC53" s="14">
        <f t="shared" si="28"/>
        <v>574.70035079983063</v>
      </c>
      <c r="ED53" s="14">
        <f t="shared" si="28"/>
        <v>18345.403721200186</v>
      </c>
      <c r="EE53" s="14">
        <f t="shared" si="25"/>
        <v>229062.16736270004</v>
      </c>
      <c r="EF53" s="14">
        <f t="shared" si="28"/>
        <v>8852.164361000061</v>
      </c>
    </row>
    <row r="54" spans="1:136" x14ac:dyDescent="0.3">
      <c r="A54" s="2" t="s">
        <v>13</v>
      </c>
      <c r="B54" s="14"/>
      <c r="C54" s="14">
        <f>C26-B26</f>
        <v>8808.5551820000401</v>
      </c>
      <c r="D54" s="14">
        <f t="shared" ref="D54:EF54" si="29">D26-C26</f>
        <v>-19555.200326499995</v>
      </c>
      <c r="E54" s="14">
        <f t="shared" si="29"/>
        <v>-18731.871043400082</v>
      </c>
      <c r="F54" s="14">
        <f t="shared" si="29"/>
        <v>-29965.590035799949</v>
      </c>
      <c r="G54" s="14">
        <f t="shared" si="29"/>
        <v>5789.4322084999294</v>
      </c>
      <c r="H54" s="14">
        <f t="shared" si="29"/>
        <v>14582.241663800029</v>
      </c>
      <c r="I54" s="14">
        <f t="shared" si="29"/>
        <v>7867.7161605000147</v>
      </c>
      <c r="J54" s="14">
        <f t="shared" si="29"/>
        <v>33732.521686299995</v>
      </c>
      <c r="K54" s="14">
        <f t="shared" si="29"/>
        <v>-38371.988568199973</v>
      </c>
      <c r="L54" s="14">
        <f t="shared" si="29"/>
        <v>3968.957560699957</v>
      </c>
      <c r="M54" s="14">
        <f t="shared" si="29"/>
        <v>1809.0781376999803</v>
      </c>
      <c r="N54" s="14">
        <f t="shared" si="29"/>
        <v>54744.910243400082</v>
      </c>
      <c r="O54" s="14">
        <f t="shared" si="29"/>
        <v>-62785.375188900041</v>
      </c>
      <c r="P54" s="14">
        <f t="shared" si="29"/>
        <v>-4222.6864532999462</v>
      </c>
      <c r="Q54" s="14">
        <f t="shared" si="29"/>
        <v>-2849.3716110000387</v>
      </c>
      <c r="R54" s="14">
        <f t="shared" si="29"/>
        <v>3694.1049935999326</v>
      </c>
      <c r="S54" s="14">
        <f t="shared" si="29"/>
        <v>-1429.6922636998934</v>
      </c>
      <c r="T54" s="14">
        <f t="shared" si="29"/>
        <v>-3013.0831120000221</v>
      </c>
      <c r="U54" s="14">
        <f t="shared" si="29"/>
        <v>2341.1453460999765</v>
      </c>
      <c r="V54" s="14">
        <f t="shared" si="29"/>
        <v>3027.1894572000019</v>
      </c>
      <c r="W54" s="14">
        <f t="shared" si="29"/>
        <v>1060.4663942999905</v>
      </c>
      <c r="X54" s="14">
        <f t="shared" si="29"/>
        <v>8882.7688963999972</v>
      </c>
      <c r="Y54" s="14">
        <f t="shared" si="29"/>
        <v>461.53722980001476</v>
      </c>
      <c r="Z54" s="14">
        <f t="shared" si="29"/>
        <v>-3511.2628434000071</v>
      </c>
      <c r="AA54" s="14">
        <f t="shared" si="29"/>
        <v>-3623.6454407999991</v>
      </c>
      <c r="AB54" s="14">
        <f t="shared" si="29"/>
        <v>541.30497500003548</v>
      </c>
      <c r="AC54" s="14">
        <f t="shared" si="29"/>
        <v>2427.226289400016</v>
      </c>
      <c r="AD54" s="14">
        <f t="shared" si="29"/>
        <v>-3607.5077492000419</v>
      </c>
      <c r="AE54" s="14">
        <f t="shared" si="29"/>
        <v>-233.13137210003333</v>
      </c>
      <c r="AF54" s="14">
        <f t="shared" si="29"/>
        <v>-435.98891229997389</v>
      </c>
      <c r="AG54" s="14">
        <f>AG26-N26</f>
        <v>-60138.829715100059</v>
      </c>
      <c r="AH54" s="14">
        <f t="shared" si="29"/>
        <v>-4477.1262724999688</v>
      </c>
      <c r="AI54" s="14">
        <f t="shared" si="29"/>
        <v>5341.5658896000241</v>
      </c>
      <c r="AJ54" s="14">
        <f t="shared" si="29"/>
        <v>-1721.3283047000295</v>
      </c>
      <c r="AK54" s="14">
        <f t="shared" si="29"/>
        <v>-1898.9014185999404</v>
      </c>
      <c r="AL54" s="14">
        <f t="shared" si="29"/>
        <v>-638.67184900003485</v>
      </c>
      <c r="AM54" s="14">
        <f t="shared" si="29"/>
        <v>-2561.8088797000237</v>
      </c>
      <c r="AN54" s="14">
        <f t="shared" si="29"/>
        <v>2721.0981846000068</v>
      </c>
      <c r="AO54" s="14">
        <f t="shared" si="29"/>
        <v>6967.4373368999804</v>
      </c>
      <c r="AP54" s="14">
        <f t="shared" si="29"/>
        <v>7100.7980852000182</v>
      </c>
      <c r="AQ54" s="14">
        <f t="shared" si="29"/>
        <v>6305.7759056999348</v>
      </c>
      <c r="AR54" s="14">
        <f t="shared" si="29"/>
        <v>-3091.3594907999504</v>
      </c>
      <c r="AS54" s="14">
        <f t="shared" si="29"/>
        <v>-8778.1233742000186</v>
      </c>
      <c r="AT54" s="14">
        <f t="shared" si="29"/>
        <v>-3836.9314828999923</v>
      </c>
      <c r="AU54" s="14">
        <f t="shared" si="29"/>
        <v>6464.4791187000228</v>
      </c>
      <c r="AV54" s="14">
        <f t="shared" si="29"/>
        <v>-3675.7824222000199</v>
      </c>
      <c r="AW54" s="14">
        <f t="shared" si="29"/>
        <v>-1356.4733801999246</v>
      </c>
      <c r="AX54" s="14">
        <f t="shared" si="29"/>
        <v>-1305.854399300064</v>
      </c>
      <c r="AY54" s="14">
        <f t="shared" si="29"/>
        <v>2973.3569895999972</v>
      </c>
      <c r="AZ54" s="14">
        <f t="shared" si="29"/>
        <v>4073.8676662999787</v>
      </c>
      <c r="BA54" s="14">
        <f>BA26-AG26</f>
        <v>26267.615863999992</v>
      </c>
      <c r="BB54" s="14">
        <f t="shared" si="29"/>
        <v>-16706.432457300019</v>
      </c>
      <c r="BC54" s="14">
        <f t="shared" si="29"/>
        <v>-584.26015399995958</v>
      </c>
      <c r="BD54" s="14">
        <f t="shared" si="29"/>
        <v>2026.1381815000204</v>
      </c>
      <c r="BE54" s="14">
        <f t="shared" si="29"/>
        <v>1634.1576657000114</v>
      </c>
      <c r="BF54" s="14">
        <f t="shared" si="29"/>
        <v>-1762.3174227000563</v>
      </c>
      <c r="BG54" s="14">
        <f t="shared" si="29"/>
        <v>1246.3892954000621</v>
      </c>
      <c r="BH54" s="14">
        <f t="shared" si="29"/>
        <v>11464.269313499972</v>
      </c>
      <c r="BI54" s="14">
        <f t="shared" si="29"/>
        <v>-5600.5213764999644</v>
      </c>
      <c r="BJ54" s="14">
        <f t="shared" si="29"/>
        <v>-4346.4244237000239</v>
      </c>
      <c r="BK54" s="14">
        <f t="shared" si="29"/>
        <v>5217.1928952999879</v>
      </c>
      <c r="BL54" s="14">
        <f t="shared" si="29"/>
        <v>-6746.0691615000251</v>
      </c>
      <c r="BM54" s="14">
        <f t="shared" si="29"/>
        <v>4023.5690395000274</v>
      </c>
      <c r="BN54" s="14">
        <f t="shared" si="29"/>
        <v>5851.7406271000509</v>
      </c>
      <c r="BO54" s="14">
        <f t="shared" si="29"/>
        <v>-1758.0318885000306</v>
      </c>
      <c r="BP54" s="14">
        <f t="shared" si="29"/>
        <v>-1566.6562978000729</v>
      </c>
      <c r="BQ54" s="14">
        <f t="shared" si="29"/>
        <v>-2735.1922106998973</v>
      </c>
      <c r="BR54" s="14">
        <f t="shared" si="29"/>
        <v>3258.0637825999875</v>
      </c>
      <c r="BS54" s="14">
        <f t="shared" si="29"/>
        <v>-4000.5060615000548</v>
      </c>
      <c r="BT54" s="14">
        <f t="shared" si="29"/>
        <v>8929.8523783000419</v>
      </c>
      <c r="BU54" s="14">
        <f t="shared" si="29"/>
        <v>22482.736196799902</v>
      </c>
      <c r="BV54" s="14">
        <f>BV26-BA26</f>
        <v>44532.50782940007</v>
      </c>
      <c r="BW54" s="14">
        <f t="shared" si="29"/>
        <v>-35246.850668800063</v>
      </c>
      <c r="BX54" s="14">
        <f t="shared" si="29"/>
        <v>2149.2530928999768</v>
      </c>
      <c r="BY54" s="14">
        <f t="shared" si="29"/>
        <v>-2226.9454410999315</v>
      </c>
      <c r="BZ54" s="14">
        <f t="shared" si="29"/>
        <v>-146.02692999999272</v>
      </c>
      <c r="CA54" s="14">
        <f t="shared" si="29"/>
        <v>-3246.8718502000556</v>
      </c>
      <c r="CB54" s="14">
        <f t="shared" si="29"/>
        <v>-6130.1949535999447</v>
      </c>
      <c r="CC54" s="14">
        <f t="shared" si="29"/>
        <v>1947.0854160999879</v>
      </c>
      <c r="CD54" s="14">
        <f t="shared" si="29"/>
        <v>-6743.0523942000582</v>
      </c>
      <c r="CE54" s="14">
        <f t="shared" si="29"/>
        <v>2379.92269820004</v>
      </c>
      <c r="CF54" s="14">
        <f t="shared" si="29"/>
        <v>4009.5342364999815</v>
      </c>
      <c r="CG54" s="14">
        <f t="shared" si="29"/>
        <v>-6105.2756331999553</v>
      </c>
      <c r="CH54" s="14">
        <f t="shared" si="29"/>
        <v>-2886.6952778000268</v>
      </c>
      <c r="CI54" s="14">
        <f t="shared" si="29"/>
        <v>20649.690623900038</v>
      </c>
      <c r="CJ54" s="14">
        <f t="shared" si="29"/>
        <v>9324.2473807999631</v>
      </c>
      <c r="CK54" s="14">
        <f t="shared" si="29"/>
        <v>-768.0506655999925</v>
      </c>
      <c r="CL54" s="14">
        <f t="shared" si="29"/>
        <v>-9075.5103408999857</v>
      </c>
      <c r="CM54" s="14">
        <f t="shared" si="29"/>
        <v>-12245.247091999976</v>
      </c>
      <c r="CN54" s="14">
        <f t="shared" si="29"/>
        <v>2390.5500188999576</v>
      </c>
      <c r="CO54" s="14">
        <f t="shared" si="29"/>
        <v>-6125.9898558000568</v>
      </c>
      <c r="CP54" s="14">
        <f t="shared" si="29"/>
        <v>6250.6231596000143</v>
      </c>
      <c r="CQ54" s="14">
        <f t="shared" si="23"/>
        <v>-29821.062358099967</v>
      </c>
      <c r="CR54" s="14">
        <f t="shared" si="29"/>
        <v>-15100.469002400059</v>
      </c>
      <c r="CS54" s="14">
        <f t="shared" si="29"/>
        <v>-1891.394388500019</v>
      </c>
      <c r="CT54" s="14">
        <f t="shared" si="29"/>
        <v>-5171.1929672000115</v>
      </c>
      <c r="CU54" s="14">
        <f t="shared" si="29"/>
        <v>3854.4983842000365</v>
      </c>
      <c r="CV54" s="14">
        <f t="shared" si="29"/>
        <v>1337.6328395999735</v>
      </c>
      <c r="CW54" s="14">
        <f t="shared" si="29"/>
        <v>-598.76515829999698</v>
      </c>
      <c r="CX54" s="14">
        <f t="shared" si="29"/>
        <v>8865.9785159000312</v>
      </c>
      <c r="CY54" s="14">
        <f t="shared" si="29"/>
        <v>505.80218970001442</v>
      </c>
      <c r="CZ54" s="14">
        <f t="shared" si="29"/>
        <v>-755.20730390003882</v>
      </c>
      <c r="DA54" s="14">
        <f t="shared" si="29"/>
        <v>-4112.3370905999909</v>
      </c>
      <c r="DB54" s="14">
        <f t="shared" si="29"/>
        <v>26.948578000010457</v>
      </c>
      <c r="DC54" s="14">
        <f t="shared" si="29"/>
        <v>-3593.1890839999542</v>
      </c>
      <c r="DD54" s="14">
        <f t="shared" si="29"/>
        <v>1266.960641499958</v>
      </c>
      <c r="DE54" s="14">
        <f t="shared" si="29"/>
        <v>-5598.1826461000601</v>
      </c>
      <c r="DF54" s="14">
        <f t="shared" si="29"/>
        <v>8648.3728104000329</v>
      </c>
      <c r="DG54" s="14">
        <f t="shared" si="29"/>
        <v>6791.7713435000041</v>
      </c>
      <c r="DH54" s="14">
        <f t="shared" si="29"/>
        <v>-12140.805538500019</v>
      </c>
      <c r="DI54" s="14">
        <f t="shared" si="29"/>
        <v>2333.4639187000575</v>
      </c>
      <c r="DJ54" s="14">
        <f t="shared" si="24"/>
        <v>14827.875577199913</v>
      </c>
      <c r="DK54" s="14">
        <f t="shared" si="29"/>
        <v>-27199.592879699951</v>
      </c>
      <c r="DL54" s="14">
        <f t="shared" si="29"/>
        <v>-6392.2392869000323</v>
      </c>
      <c r="DM54" s="14">
        <f t="shared" si="29"/>
        <v>10551.158788800007</v>
      </c>
      <c r="DN54" s="14">
        <f t="shared" si="29"/>
        <v>-7815.551748399972</v>
      </c>
      <c r="DO54" s="14">
        <f t="shared" si="29"/>
        <v>-4928.5802569999942</v>
      </c>
      <c r="DP54" s="14">
        <f t="shared" si="29"/>
        <v>-2955.5185263000312</v>
      </c>
      <c r="DQ54" s="14">
        <f t="shared" si="29"/>
        <v>7307.9595187999657</v>
      </c>
      <c r="DR54" s="14">
        <f t="shared" si="29"/>
        <v>12633.150706099987</v>
      </c>
      <c r="DS54" s="14">
        <f t="shared" si="29"/>
        <v>934.08968690002803</v>
      </c>
      <c r="DT54" s="14">
        <f t="shared" si="29"/>
        <v>572.94827799999621</v>
      </c>
      <c r="DU54" s="14">
        <f t="shared" si="29"/>
        <v>3731.1499783000327</v>
      </c>
      <c r="DV54" s="14">
        <f t="shared" si="29"/>
        <v>-2043.1755844000145</v>
      </c>
      <c r="DW54" s="14">
        <f t="shared" si="29"/>
        <v>2616.2120335000218</v>
      </c>
      <c r="DX54" s="14">
        <f t="shared" si="29"/>
        <v>3289.0072465999983</v>
      </c>
      <c r="DY54" s="14">
        <f t="shared" si="29"/>
        <v>4754.6440586999524</v>
      </c>
      <c r="DZ54" s="14">
        <f t="shared" si="29"/>
        <v>11690.505096600042</v>
      </c>
      <c r="EA54" s="14">
        <f t="shared" si="29"/>
        <v>-4583.5001859000186</v>
      </c>
      <c r="EB54" s="14">
        <f t="shared" si="29"/>
        <v>-5927.625214700005</v>
      </c>
      <c r="EC54" s="14">
        <f t="shared" si="29"/>
        <v>783.00261939998018</v>
      </c>
      <c r="ED54" s="14">
        <f t="shared" si="29"/>
        <v>1841.8670086000348</v>
      </c>
      <c r="EE54" s="14">
        <f t="shared" si="25"/>
        <v>-4649.9798814000096</v>
      </c>
      <c r="EF54" s="14">
        <f t="shared" si="29"/>
        <v>-2933.5340594999725</v>
      </c>
    </row>
    <row r="55" spans="1:136" x14ac:dyDescent="0.3">
      <c r="A55" s="5" t="s">
        <v>29</v>
      </c>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f t="shared" ref="BV55:BV57" si="30">BV27-BA27</f>
        <v>5.2197000000000049E-2</v>
      </c>
      <c r="BW55" s="14">
        <f t="shared" ref="BW55:BW57" si="31">BW27-BV27</f>
        <v>0</v>
      </c>
      <c r="BX55" s="14">
        <f t="shared" ref="BX55:BX57" si="32">BX27-BW27</f>
        <v>0</v>
      </c>
      <c r="BY55" s="14">
        <f t="shared" ref="BY55:BY57" si="33">BY27-BX27</f>
        <v>0</v>
      </c>
      <c r="BZ55" s="14">
        <f t="shared" ref="BZ55:BZ57" si="34">BZ27-BY27</f>
        <v>0</v>
      </c>
      <c r="CA55" s="14">
        <f t="shared" ref="CA55:CA57" si="35">CA27-BZ27</f>
        <v>0</v>
      </c>
      <c r="CB55" s="14">
        <f t="shared" ref="CB55:CB57" si="36">CB27-CA27</f>
        <v>0</v>
      </c>
      <c r="CC55" s="14">
        <f t="shared" ref="CC55:CC57" si="37">CC27-CB27</f>
        <v>0</v>
      </c>
      <c r="CD55" s="14">
        <f t="shared" ref="CD55:CD57" si="38">CD27-CC27</f>
        <v>0</v>
      </c>
      <c r="CE55" s="14">
        <f t="shared" ref="CE55:CE57" si="39">CE27-CD27</f>
        <v>-8.1881999999999788E-3</v>
      </c>
      <c r="CF55" s="14">
        <f t="shared" ref="CF55:CF57" si="40">CF27-CE27</f>
        <v>0</v>
      </c>
      <c r="CG55" s="14">
        <f t="shared" ref="CG55:CG57" si="41">CG27-CF27</f>
        <v>0</v>
      </c>
      <c r="CH55" s="14">
        <f t="shared" ref="CH55:CH57" si="42">CH27-CG27</f>
        <v>-4.4096000000000135E-3</v>
      </c>
      <c r="CI55" s="14">
        <f t="shared" ref="CI55:CI57" si="43">CI27-CH27</f>
        <v>0</v>
      </c>
      <c r="CJ55" s="14">
        <f t="shared" ref="CJ55:CJ57" si="44">CJ27-CI27</f>
        <v>-1.0133999999999421E-3</v>
      </c>
      <c r="CK55" s="14">
        <f t="shared" ref="CK55:CK57" si="45">CK27-CJ27</f>
        <v>-1.6758999999999968E-2</v>
      </c>
      <c r="CL55" s="14">
        <f t="shared" ref="CL55:CL57" si="46">CL27-CK27</f>
        <v>0</v>
      </c>
      <c r="CM55" s="14">
        <f t="shared" ref="CM55:CM57" si="47">CM27-CL27</f>
        <v>0</v>
      </c>
      <c r="CN55" s="14">
        <f t="shared" ref="CN55:CN57" si="48">CN27-CM27</f>
        <v>-5.4395000000000415E-3</v>
      </c>
      <c r="CO55" s="14">
        <f t="shared" ref="CO55:CO57" si="49">CO27-CN27</f>
        <v>0</v>
      </c>
      <c r="CP55" s="14">
        <f t="shared" ref="CP55:CP57" si="50">CP27-CO27</f>
        <v>0</v>
      </c>
      <c r="CQ55" s="14">
        <f t="shared" si="23"/>
        <v>-3.5809699999999944E-2</v>
      </c>
      <c r="CR55" s="14">
        <f t="shared" ref="CR55:EF57" si="51">CR27-CQ27</f>
        <v>0</v>
      </c>
      <c r="CS55" s="14">
        <f t="shared" si="51"/>
        <v>0</v>
      </c>
      <c r="CT55" s="14">
        <f t="shared" si="51"/>
        <v>0</v>
      </c>
      <c r="CU55" s="14">
        <f t="shared" si="51"/>
        <v>0</v>
      </c>
      <c r="CV55" s="14">
        <f t="shared" si="51"/>
        <v>0</v>
      </c>
      <c r="CW55" s="14">
        <f t="shared" si="51"/>
        <v>0</v>
      </c>
      <c r="CX55" s="14">
        <f t="shared" si="51"/>
        <v>0</v>
      </c>
      <c r="CY55" s="14">
        <f t="shared" si="51"/>
        <v>-1.4319999999998778E-3</v>
      </c>
      <c r="CZ55" s="14">
        <f t="shared" si="51"/>
        <v>-1.6493000000001867E-3</v>
      </c>
      <c r="DA55" s="14">
        <f t="shared" si="51"/>
        <v>0</v>
      </c>
      <c r="DB55" s="14">
        <f t="shared" si="51"/>
        <v>-1.1550100000000008E-2</v>
      </c>
      <c r="DC55" s="14">
        <f t="shared" si="51"/>
        <v>-7.7299999999835833E-5</v>
      </c>
      <c r="DD55" s="14">
        <f t="shared" si="51"/>
        <v>-3.510499999999972E-3</v>
      </c>
      <c r="DE55" s="14">
        <f t="shared" si="51"/>
        <v>0</v>
      </c>
      <c r="DF55" s="14">
        <f t="shared" si="51"/>
        <v>0</v>
      </c>
      <c r="DG55" s="14">
        <f t="shared" si="51"/>
        <v>-1.2389600000000334E-2</v>
      </c>
      <c r="DH55" s="14">
        <f t="shared" si="51"/>
        <v>-3.9796999999996974E-3</v>
      </c>
      <c r="DI55" s="14">
        <f t="shared" si="51"/>
        <v>0</v>
      </c>
      <c r="DJ55" s="14">
        <f t="shared" si="24"/>
        <v>-3.4588499999999911E-2</v>
      </c>
      <c r="DK55" s="14">
        <f t="shared" si="51"/>
        <v>0</v>
      </c>
      <c r="DL55" s="14">
        <f t="shared" si="51"/>
        <v>0</v>
      </c>
      <c r="DM55" s="14">
        <f t="shared" si="51"/>
        <v>-4.2196999999999374E-3</v>
      </c>
      <c r="DN55" s="14">
        <f t="shared" si="51"/>
        <v>0</v>
      </c>
      <c r="DO55" s="14">
        <f t="shared" si="51"/>
        <v>9.7964099999999776E-2</v>
      </c>
      <c r="DP55" s="14">
        <f t="shared" si="51"/>
        <v>-1.1222499999999913E-2</v>
      </c>
      <c r="DQ55" s="14">
        <f t="shared" si="51"/>
        <v>-1.0200000000000209E-3</v>
      </c>
      <c r="DR55" s="14">
        <f t="shared" si="51"/>
        <v>-4.2853000000000474E-3</v>
      </c>
      <c r="DS55" s="14">
        <f t="shared" si="51"/>
        <v>-4.7216999999999398E-3</v>
      </c>
      <c r="DT55" s="14">
        <f t="shared" si="51"/>
        <v>0</v>
      </c>
      <c r="DU55" s="14">
        <f t="shared" si="51"/>
        <v>0</v>
      </c>
      <c r="DV55" s="14">
        <f t="shared" si="51"/>
        <v>0</v>
      </c>
      <c r="DW55" s="14">
        <f t="shared" si="51"/>
        <v>0</v>
      </c>
      <c r="DX55" s="14">
        <f t="shared" si="51"/>
        <v>0</v>
      </c>
      <c r="DY55" s="14">
        <f t="shared" si="51"/>
        <v>-7.5542000000001774E-3</v>
      </c>
      <c r="DZ55" s="14">
        <f t="shared" si="51"/>
        <v>-1.152889999999962E-2</v>
      </c>
      <c r="EA55" s="14">
        <f t="shared" si="51"/>
        <v>0</v>
      </c>
      <c r="EB55" s="14">
        <f t="shared" si="51"/>
        <v>0</v>
      </c>
      <c r="EC55" s="14">
        <f t="shared" si="51"/>
        <v>0</v>
      </c>
      <c r="ED55" s="14">
        <f t="shared" si="51"/>
        <v>0</v>
      </c>
      <c r="EE55" s="14">
        <f t="shared" si="25"/>
        <v>5.341180000000012E-2</v>
      </c>
      <c r="EF55" s="14">
        <f t="shared" si="51"/>
        <v>0</v>
      </c>
    </row>
    <row r="56" spans="1:136" x14ac:dyDescent="0.3">
      <c r="A56" s="2" t="s">
        <v>30</v>
      </c>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f t="shared" si="30"/>
        <v>-286.45025140000007</v>
      </c>
      <c r="BW56" s="14">
        <f t="shared" si="31"/>
        <v>-0.30227709999996932</v>
      </c>
      <c r="BX56" s="14">
        <f t="shared" si="32"/>
        <v>4.3089899999984027E-2</v>
      </c>
      <c r="BY56" s="14">
        <f t="shared" si="33"/>
        <v>1.2884332000000143</v>
      </c>
      <c r="BZ56" s="14">
        <f t="shared" si="34"/>
        <v>-0.21190870000000928</v>
      </c>
      <c r="CA56" s="14">
        <f t="shared" si="35"/>
        <v>-0.4130534999999611</v>
      </c>
      <c r="CB56" s="14">
        <f t="shared" si="36"/>
        <v>-0.18010750000001963</v>
      </c>
      <c r="CC56" s="14">
        <f t="shared" si="37"/>
        <v>0.80670509999998785</v>
      </c>
      <c r="CD56" s="14">
        <f t="shared" si="38"/>
        <v>-4.2916299999973262E-2</v>
      </c>
      <c r="CE56" s="14">
        <f t="shared" si="39"/>
        <v>1.242167199999983</v>
      </c>
      <c r="CF56" s="14">
        <f t="shared" si="40"/>
        <v>0.28379759999998555</v>
      </c>
      <c r="CG56" s="14">
        <f t="shared" si="41"/>
        <v>-0.29451349999999366</v>
      </c>
      <c r="CH56" s="14">
        <f t="shared" si="42"/>
        <v>0.3061273000000142</v>
      </c>
      <c r="CI56" s="14">
        <f t="shared" si="43"/>
        <v>-0.12842759999998066</v>
      </c>
      <c r="CJ56" s="14">
        <f t="shared" si="44"/>
        <v>8.8606499999997368E-2</v>
      </c>
      <c r="CK56" s="14">
        <f t="shared" si="45"/>
        <v>0.57423409999998398</v>
      </c>
      <c r="CL56" s="14">
        <f t="shared" si="46"/>
        <v>-0.33594999999999686</v>
      </c>
      <c r="CM56" s="14">
        <f t="shared" si="47"/>
        <v>-0.70430470000002288</v>
      </c>
      <c r="CN56" s="14">
        <f t="shared" si="48"/>
        <v>0.10322279999999751</v>
      </c>
      <c r="CO56" s="14">
        <f t="shared" si="49"/>
        <v>-0.36974419999998531</v>
      </c>
      <c r="CP56" s="14">
        <f t="shared" si="50"/>
        <v>0.18907269999999698</v>
      </c>
      <c r="CQ56" s="14">
        <f t="shared" si="23"/>
        <v>2.0783032000000503</v>
      </c>
      <c r="CR56" s="14">
        <f t="shared" si="51"/>
        <v>-0.4332885000000033</v>
      </c>
      <c r="CS56" s="14">
        <f t="shared" si="51"/>
        <v>0.17021149999999352</v>
      </c>
      <c r="CT56" s="14">
        <f t="shared" si="51"/>
        <v>-9.5886100000001306E-2</v>
      </c>
      <c r="CU56" s="14">
        <f t="shared" si="51"/>
        <v>0.12503290000000788</v>
      </c>
      <c r="CV56" s="14">
        <f t="shared" si="51"/>
        <v>-0.45520530000001713</v>
      </c>
      <c r="CW56" s="14">
        <f t="shared" si="51"/>
        <v>-1.0606630000000052</v>
      </c>
      <c r="CX56" s="14">
        <f t="shared" si="51"/>
        <v>-0.16170389999999202</v>
      </c>
      <c r="CY56" s="14">
        <f t="shared" si="51"/>
        <v>0.55408599999998387</v>
      </c>
      <c r="CZ56" s="14">
        <f t="shared" si="51"/>
        <v>-0.57776859999998464</v>
      </c>
      <c r="DA56" s="14">
        <f t="shared" si="51"/>
        <v>-0.26405529999999544</v>
      </c>
      <c r="DB56" s="14">
        <f t="shared" si="51"/>
        <v>0.33666449999998349</v>
      </c>
      <c r="DC56" s="14">
        <f t="shared" si="51"/>
        <v>-0.70931129999996756</v>
      </c>
      <c r="DD56" s="14">
        <f t="shared" si="51"/>
        <v>0.54079479999995783</v>
      </c>
      <c r="DE56" s="14">
        <f t="shared" si="51"/>
        <v>-0.43115399999996384</v>
      </c>
      <c r="DF56" s="14">
        <f t="shared" si="51"/>
        <v>-3.082420000001207E-2</v>
      </c>
      <c r="DG56" s="14">
        <f t="shared" si="51"/>
        <v>0.3297302000000002</v>
      </c>
      <c r="DH56" s="14">
        <f t="shared" si="51"/>
        <v>-0.10215120000000866</v>
      </c>
      <c r="DI56" s="14">
        <f t="shared" si="51"/>
        <v>-0.27234880000000317</v>
      </c>
      <c r="DJ56" s="14">
        <f t="shared" si="24"/>
        <v>-15.156610200000046</v>
      </c>
      <c r="DK56" s="14">
        <f t="shared" si="51"/>
        <v>0.32559890000001701</v>
      </c>
      <c r="DL56" s="14">
        <f t="shared" si="51"/>
        <v>-7.9329099999995378E-2</v>
      </c>
      <c r="DM56" s="14">
        <f t="shared" si="51"/>
        <v>-5.6879199999968932E-2</v>
      </c>
      <c r="DN56" s="14">
        <f t="shared" si="51"/>
        <v>-1.1647600000031844E-2</v>
      </c>
      <c r="DO56" s="14">
        <f t="shared" si="51"/>
        <v>-8.2551000000137265E-3</v>
      </c>
      <c r="DP56" s="14">
        <f t="shared" si="51"/>
        <v>-0.12322209999996403</v>
      </c>
      <c r="DQ56" s="14">
        <f t="shared" si="51"/>
        <v>0.21431969999997591</v>
      </c>
      <c r="DR56" s="14">
        <f t="shared" si="51"/>
        <v>-6.5439299999979994E-2</v>
      </c>
      <c r="DS56" s="14">
        <f t="shared" si="51"/>
        <v>19.808031599999993</v>
      </c>
      <c r="DT56" s="14">
        <f t="shared" si="51"/>
        <v>-0.42822920000000408</v>
      </c>
      <c r="DU56" s="14">
        <f t="shared" si="51"/>
        <v>0.55917279999999892</v>
      </c>
      <c r="DV56" s="14">
        <f t="shared" si="51"/>
        <v>0.19489239999998631</v>
      </c>
      <c r="DW56" s="14">
        <f t="shared" si="51"/>
        <v>-0.2087845999999729</v>
      </c>
      <c r="DX56" s="14">
        <f t="shared" si="51"/>
        <v>6.3780999999977439E-2</v>
      </c>
      <c r="DY56" s="14">
        <f t="shared" si="51"/>
        <v>0.57905350000001476</v>
      </c>
      <c r="DZ56" s="14">
        <f t="shared" si="51"/>
        <v>-3.8402599999983522E-2</v>
      </c>
      <c r="EA56" s="14">
        <f t="shared" si="51"/>
        <v>0.34149959999999169</v>
      </c>
      <c r="EB56" s="14">
        <f t="shared" si="51"/>
        <v>-0.12340700000001448</v>
      </c>
      <c r="EC56" s="14">
        <f t="shared" si="51"/>
        <v>0.26382019999999784</v>
      </c>
      <c r="ED56" s="14">
        <f t="shared" si="51"/>
        <v>-0.26006799999998975</v>
      </c>
      <c r="EE56" s="14">
        <f t="shared" si="25"/>
        <v>21.057198900000031</v>
      </c>
      <c r="EF56" s="14">
        <f t="shared" si="51"/>
        <v>0.69920380000002069</v>
      </c>
    </row>
    <row r="57" spans="1:136" x14ac:dyDescent="0.3">
      <c r="A57" s="1" t="s">
        <v>6</v>
      </c>
      <c r="B57" s="14"/>
      <c r="C57" s="14">
        <f>C29-B29</f>
        <v>-28268.744683400204</v>
      </c>
      <c r="D57" s="14">
        <f t="shared" ref="D57:BU57" si="52">D29-C29</f>
        <v>2072.5778768999735</v>
      </c>
      <c r="E57" s="14">
        <f t="shared" si="52"/>
        <v>-3233.1270621997537</v>
      </c>
      <c r="F57" s="14">
        <f t="shared" si="52"/>
        <v>-1337.5765419003437</v>
      </c>
      <c r="G57" s="14">
        <f t="shared" si="52"/>
        <v>957.6026079003932</v>
      </c>
      <c r="H57" s="14">
        <f t="shared" si="52"/>
        <v>453.69484989967896</v>
      </c>
      <c r="I57" s="14">
        <f t="shared" si="52"/>
        <v>1547.1610425001127</v>
      </c>
      <c r="J57" s="14">
        <f t="shared" si="52"/>
        <v>1333.7321843000245</v>
      </c>
      <c r="K57" s="14">
        <f t="shared" si="52"/>
        <v>-3412.8040099003119</v>
      </c>
      <c r="L57" s="14">
        <f t="shared" si="52"/>
        <v>774.86933309989763</v>
      </c>
      <c r="M57" s="14">
        <f t="shared" si="52"/>
        <v>-5384.9406717994443</v>
      </c>
      <c r="N57" s="14">
        <f t="shared" si="52"/>
        <v>12537.049517199825</v>
      </c>
      <c r="O57" s="14">
        <f t="shared" si="52"/>
        <v>-13793.795327400207</v>
      </c>
      <c r="P57" s="14">
        <f t="shared" si="52"/>
        <v>-4.1609560998458619</v>
      </c>
      <c r="Q57" s="14">
        <f t="shared" si="52"/>
        <v>-61.527105499917525</v>
      </c>
      <c r="R57" s="14">
        <f t="shared" si="52"/>
        <v>1164.3910490998787</v>
      </c>
      <c r="S57" s="14">
        <f t="shared" si="52"/>
        <v>-3401.4190088000632</v>
      </c>
      <c r="T57" s="14">
        <f t="shared" si="52"/>
        <v>2973.2214682001322</v>
      </c>
      <c r="U57" s="14">
        <f t="shared" si="52"/>
        <v>-2375.1469009998691</v>
      </c>
      <c r="V57" s="14">
        <f t="shared" si="52"/>
        <v>1686.691806100278</v>
      </c>
      <c r="W57" s="14">
        <f t="shared" si="52"/>
        <v>-119.11214620065039</v>
      </c>
      <c r="X57" s="14">
        <f t="shared" si="52"/>
        <v>396.0049875001605</v>
      </c>
      <c r="Y57" s="14">
        <f t="shared" si="52"/>
        <v>1287.6654839999319</v>
      </c>
      <c r="Z57" s="14">
        <f t="shared" si="52"/>
        <v>154.92055200008508</v>
      </c>
      <c r="AA57" s="14">
        <f t="shared" si="52"/>
        <v>-2.1996460002792446</v>
      </c>
      <c r="AB57" s="14">
        <f t="shared" si="52"/>
        <v>19401.706081200071</v>
      </c>
      <c r="AC57" s="14">
        <f t="shared" si="52"/>
        <v>4.5855314002910745</v>
      </c>
      <c r="AD57" s="14">
        <f t="shared" si="52"/>
        <v>-21521.044137200188</v>
      </c>
      <c r="AE57" s="14">
        <f t="shared" si="52"/>
        <v>907.14266950017372</v>
      </c>
      <c r="AF57" s="14">
        <f t="shared" si="52"/>
        <v>3015.93474720009</v>
      </c>
      <c r="AG57" s="14">
        <f>AG29-N29</f>
        <v>-13588.11162440005</v>
      </c>
      <c r="AH57" s="14">
        <f t="shared" si="52"/>
        <v>382.96838849988308</v>
      </c>
      <c r="AI57" s="14">
        <f t="shared" si="52"/>
        <v>-473.64759290007532</v>
      </c>
      <c r="AJ57" s="14">
        <f t="shared" si="52"/>
        <v>-672.5673309999911</v>
      </c>
      <c r="AK57" s="14">
        <f t="shared" si="52"/>
        <v>144.56697610023184</v>
      </c>
      <c r="AL57" s="14">
        <f t="shared" si="52"/>
        <v>919.94567009988168</v>
      </c>
      <c r="AM57" s="14">
        <f t="shared" si="52"/>
        <v>-3476.2992903998565</v>
      </c>
      <c r="AN57" s="14">
        <f t="shared" si="52"/>
        <v>1263.8108886001737</v>
      </c>
      <c r="AO57" s="14">
        <f t="shared" si="52"/>
        <v>141.31801909970272</v>
      </c>
      <c r="AP57" s="14">
        <f t="shared" si="52"/>
        <v>2144.9775094001579</v>
      </c>
      <c r="AQ57" s="14">
        <f t="shared" si="52"/>
        <v>-3823.4083202002566</v>
      </c>
      <c r="AR57" s="14">
        <f t="shared" si="52"/>
        <v>6790.9422086998784</v>
      </c>
      <c r="AS57" s="14">
        <f t="shared" si="52"/>
        <v>-4448.7984819997928</v>
      </c>
      <c r="AT57" s="14">
        <f t="shared" si="52"/>
        <v>417.88244109994957</v>
      </c>
      <c r="AU57" s="14">
        <f t="shared" si="52"/>
        <v>1529.4617448002955</v>
      </c>
      <c r="AV57" s="14">
        <f t="shared" si="52"/>
        <v>1150.7991625995128</v>
      </c>
      <c r="AW57" s="14">
        <f t="shared" si="52"/>
        <v>605.5321527002543</v>
      </c>
      <c r="AX57" s="14">
        <f t="shared" si="52"/>
        <v>-2875.9497660000688</v>
      </c>
      <c r="AY57" s="14">
        <f t="shared" si="52"/>
        <v>356.79459500039229</v>
      </c>
      <c r="AZ57" s="14">
        <f t="shared" si="52"/>
        <v>1619.7333435997607</v>
      </c>
      <c r="BA57" s="14">
        <f>BA29-AG29</f>
        <v>-612.94028389989762</v>
      </c>
      <c r="BB57" s="14">
        <f t="shared" si="52"/>
        <v>957.54192539986616</v>
      </c>
      <c r="BC57" s="14">
        <f t="shared" si="52"/>
        <v>-675.2528374996964</v>
      </c>
      <c r="BD57" s="14">
        <f t="shared" si="52"/>
        <v>3064.0580472998208</v>
      </c>
      <c r="BE57" s="14">
        <f t="shared" si="52"/>
        <v>-2570.9607321000603</v>
      </c>
      <c r="BF57" s="14">
        <f t="shared" si="52"/>
        <v>-473.77001459999519</v>
      </c>
      <c r="BG57" s="14">
        <f t="shared" si="52"/>
        <v>-1692.4037925000885</v>
      </c>
      <c r="BH57" s="14">
        <f t="shared" si="52"/>
        <v>-113.13819009983308</v>
      </c>
      <c r="BI57" s="14">
        <f t="shared" si="52"/>
        <v>2071.7121088002368</v>
      </c>
      <c r="BJ57" s="14">
        <f t="shared" si="52"/>
        <v>-1789.5050796003634</v>
      </c>
      <c r="BK57" s="14">
        <f t="shared" si="52"/>
        <v>1869.9684526000019</v>
      </c>
      <c r="BL57" s="14">
        <f t="shared" si="52"/>
        <v>-928.4147074997054</v>
      </c>
      <c r="BM57" s="14">
        <f t="shared" si="52"/>
        <v>-727.95631450030305</v>
      </c>
      <c r="BN57" s="14">
        <f t="shared" si="52"/>
        <v>32682.628387899662</v>
      </c>
      <c r="BO57" s="14">
        <f t="shared" si="52"/>
        <v>-30720.220988199955</v>
      </c>
      <c r="BP57" s="14">
        <f t="shared" si="52"/>
        <v>2429.7401603002672</v>
      </c>
      <c r="BQ57" s="14">
        <f t="shared" si="52"/>
        <v>-2448.3070837999276</v>
      </c>
      <c r="BR57" s="14">
        <f t="shared" si="52"/>
        <v>-1072.0658371003519</v>
      </c>
      <c r="BS57" s="14">
        <f t="shared" si="52"/>
        <v>11689.104192200404</v>
      </c>
      <c r="BT57" s="14">
        <f t="shared" si="52"/>
        <v>-11047.720575800007</v>
      </c>
      <c r="BU57" s="14">
        <f t="shared" si="52"/>
        <v>-365.02877310028998</v>
      </c>
      <c r="BV57" s="14">
        <f t="shared" si="30"/>
        <v>634.95546569996077</v>
      </c>
      <c r="BW57" s="14">
        <f t="shared" si="31"/>
        <v>322.11763139961658</v>
      </c>
      <c r="BX57" s="14">
        <f t="shared" si="32"/>
        <v>481.63303690024441</v>
      </c>
      <c r="BY57" s="14">
        <f t="shared" si="33"/>
        <v>531.255577700309</v>
      </c>
      <c r="BZ57" s="14">
        <f t="shared" si="34"/>
        <v>-630.73421260027862</v>
      </c>
      <c r="CA57" s="14">
        <f t="shared" si="35"/>
        <v>127.47424609999871</v>
      </c>
      <c r="CB57" s="14">
        <f t="shared" si="36"/>
        <v>-299.92356469970946</v>
      </c>
      <c r="CC57" s="14">
        <f t="shared" si="37"/>
        <v>2102.8269867998279</v>
      </c>
      <c r="CD57" s="14">
        <f t="shared" si="38"/>
        <v>-2180.6613359001421</v>
      </c>
      <c r="CE57" s="14">
        <f t="shared" si="39"/>
        <v>-773.97808270021415</v>
      </c>
      <c r="CF57" s="14">
        <f t="shared" si="40"/>
        <v>54.208844600318116</v>
      </c>
      <c r="CG57" s="14">
        <f t="shared" si="41"/>
        <v>2612.7688899000023</v>
      </c>
      <c r="CH57" s="14">
        <f t="shared" si="42"/>
        <v>-760.53083790026722</v>
      </c>
      <c r="CI57" s="14">
        <f t="shared" si="43"/>
        <v>1987.7711357003209</v>
      </c>
      <c r="CJ57" s="14">
        <f t="shared" si="44"/>
        <v>-2270.7932456002109</v>
      </c>
      <c r="CK57" s="14">
        <f t="shared" si="45"/>
        <v>2893.2090669998815</v>
      </c>
      <c r="CL57" s="14">
        <f t="shared" si="46"/>
        <v>-1342.8131384997196</v>
      </c>
      <c r="CM57" s="14">
        <f t="shared" si="47"/>
        <v>3229.3294247000431</v>
      </c>
      <c r="CN57" s="14">
        <f t="shared" si="48"/>
        <v>195.92000879985426</v>
      </c>
      <c r="CO57" s="14">
        <f t="shared" si="49"/>
        <v>-18.950246000400512</v>
      </c>
      <c r="CP57" s="14">
        <f t="shared" si="50"/>
        <v>-5316.106203598918</v>
      </c>
      <c r="CQ57" s="14">
        <f t="shared" si="23"/>
        <v>2011.4107842998237</v>
      </c>
      <c r="CR57" s="14">
        <f t="shared" si="51"/>
        <v>-772.06391110021286</v>
      </c>
      <c r="CS57" s="14">
        <f t="shared" si="51"/>
        <v>662.93162170014148</v>
      </c>
      <c r="CT57" s="14">
        <f t="shared" si="51"/>
        <v>633.97882350001964</v>
      </c>
      <c r="CU57" s="14">
        <f t="shared" si="51"/>
        <v>-1924.5904651999426</v>
      </c>
      <c r="CV57" s="14">
        <f t="shared" si="51"/>
        <v>24.94567940034176</v>
      </c>
      <c r="CW57" s="14">
        <f t="shared" si="51"/>
        <v>-1357.281516200379</v>
      </c>
      <c r="CX57" s="14">
        <f t="shared" si="51"/>
        <v>-249.11113929937528</v>
      </c>
      <c r="CY57" s="14">
        <f t="shared" si="51"/>
        <v>294.60448819940211</v>
      </c>
      <c r="CZ57" s="14">
        <f t="shared" si="51"/>
        <v>1328.7129136003714</v>
      </c>
      <c r="DA57" s="14">
        <f t="shared" si="51"/>
        <v>-1482.2159308003411</v>
      </c>
      <c r="DB57" s="14">
        <f t="shared" si="51"/>
        <v>3331.4220040004093</v>
      </c>
      <c r="DC57" s="14">
        <f t="shared" si="51"/>
        <v>2526.2541637997238</v>
      </c>
      <c r="DD57" s="14">
        <f t="shared" si="51"/>
        <v>28.123392499659531</v>
      </c>
      <c r="DE57" s="14">
        <f t="shared" si="51"/>
        <v>1018.5433442004251</v>
      </c>
      <c r="DF57" s="14">
        <f t="shared" si="51"/>
        <v>-1595.0190204000282</v>
      </c>
      <c r="DG57" s="14">
        <f t="shared" si="51"/>
        <v>-1527.0737747000421</v>
      </c>
      <c r="DH57" s="14">
        <f t="shared" si="51"/>
        <v>11646.775320999932</v>
      </c>
      <c r="DI57" s="14">
        <f t="shared" si="51"/>
        <v>-10583.983372000141</v>
      </c>
      <c r="DJ57" s="14">
        <f t="shared" si="24"/>
        <v>1462.1694632005037</v>
      </c>
      <c r="DK57" s="14">
        <f t="shared" si="51"/>
        <v>148.3004908995681</v>
      </c>
      <c r="DL57" s="14">
        <f t="shared" si="51"/>
        <v>1100.0344394999847</v>
      </c>
      <c r="DM57" s="14">
        <f t="shared" si="51"/>
        <v>10.943511700388626</v>
      </c>
      <c r="DN57" s="14">
        <f t="shared" si="51"/>
        <v>-1941.7306563003021</v>
      </c>
      <c r="DO57" s="14">
        <f t="shared" si="51"/>
        <v>588.58110610025142</v>
      </c>
      <c r="DP57" s="14">
        <f t="shared" si="51"/>
        <v>-10.611224600666901</v>
      </c>
      <c r="DQ57" s="14">
        <f t="shared" si="51"/>
        <v>-900.45474679959989</v>
      </c>
      <c r="DR57" s="14">
        <f t="shared" si="51"/>
        <v>-1432.7696896001653</v>
      </c>
      <c r="DS57" s="14">
        <f t="shared" si="51"/>
        <v>1169.3113314002876</v>
      </c>
      <c r="DT57" s="14">
        <f t="shared" si="51"/>
        <v>-156.68805230008547</v>
      </c>
      <c r="DU57" s="14">
        <f t="shared" si="51"/>
        <v>424.43346120025672</v>
      </c>
      <c r="DV57" s="14">
        <f t="shared" si="51"/>
        <v>138.60463589930623</v>
      </c>
      <c r="DW57" s="14">
        <f t="shared" si="51"/>
        <v>-376.14407129977917</v>
      </c>
      <c r="DX57" s="14">
        <f t="shared" si="51"/>
        <v>-2285.6124933998453</v>
      </c>
      <c r="DY57" s="14">
        <f t="shared" si="51"/>
        <v>863.80666050019499</v>
      </c>
      <c r="DZ57" s="14">
        <f t="shared" si="51"/>
        <v>368.54775119963779</v>
      </c>
      <c r="EA57" s="14">
        <f t="shared" si="51"/>
        <v>639.88890470038314</v>
      </c>
      <c r="EB57" s="14">
        <f t="shared" si="51"/>
        <v>8174.1007240000417</v>
      </c>
      <c r="EC57" s="14">
        <f t="shared" si="51"/>
        <v>-9573.7292476001385</v>
      </c>
      <c r="ED57" s="14">
        <f t="shared" si="51"/>
        <v>-600.45098849974238</v>
      </c>
      <c r="EE57" s="14">
        <f t="shared" si="25"/>
        <v>-2825.6994238002426</v>
      </c>
      <c r="EF57" s="14">
        <f t="shared" si="51"/>
        <v>3318.5396571998153</v>
      </c>
    </row>
    <row r="58" spans="1:136" x14ac:dyDescent="0.3">
      <c r="A58" s="5" t="s">
        <v>7</v>
      </c>
      <c r="B58" s="14"/>
      <c r="C58" s="14">
        <f>C30-B30</f>
        <v>-29524.726904799994</v>
      </c>
      <c r="D58" s="14">
        <f t="shared" ref="D58:EF58" si="53">D30-C30</f>
        <v>2421.9176890999952</v>
      </c>
      <c r="E58" s="14">
        <f t="shared" si="53"/>
        <v>-4041.4901926999992</v>
      </c>
      <c r="F58" s="14">
        <f t="shared" si="53"/>
        <v>-427.8291492999997</v>
      </c>
      <c r="G58" s="14">
        <f t="shared" si="53"/>
        <v>796.0852698000017</v>
      </c>
      <c r="H58" s="14">
        <f t="shared" si="53"/>
        <v>566.45302810000067</v>
      </c>
      <c r="I58" s="14">
        <f t="shared" si="53"/>
        <v>1090.5009932999965</v>
      </c>
      <c r="J58" s="14">
        <f t="shared" si="53"/>
        <v>85.767450500003179</v>
      </c>
      <c r="K58" s="14">
        <f t="shared" si="53"/>
        <v>-3603.1152099000028</v>
      </c>
      <c r="L58" s="14">
        <f t="shared" si="53"/>
        <v>995.14322240000183</v>
      </c>
      <c r="M58" s="14">
        <f t="shared" si="53"/>
        <v>-4438.4260812999983</v>
      </c>
      <c r="N58" s="14">
        <f t="shared" si="53"/>
        <v>13139.641779599997</v>
      </c>
      <c r="O58" s="14">
        <f t="shared" si="53"/>
        <v>-14570.100064099999</v>
      </c>
      <c r="P58" s="14">
        <f t="shared" si="53"/>
        <v>28.383844600000884</v>
      </c>
      <c r="Q58" s="14">
        <f t="shared" si="53"/>
        <v>483.30086279999887</v>
      </c>
      <c r="R58" s="14">
        <f t="shared" si="53"/>
        <v>412.57779449999907</v>
      </c>
      <c r="S58" s="14">
        <f t="shared" si="53"/>
        <v>-3036.5852877999978</v>
      </c>
      <c r="T58" s="14">
        <f t="shared" si="53"/>
        <v>223.31039639999926</v>
      </c>
      <c r="U58" s="14">
        <f t="shared" si="53"/>
        <v>96.149620699999105</v>
      </c>
      <c r="V58" s="14">
        <f t="shared" si="53"/>
        <v>1668.0809318000001</v>
      </c>
      <c r="W58" s="14">
        <f t="shared" si="53"/>
        <v>37.501703700001599</v>
      </c>
      <c r="X58" s="14">
        <f t="shared" si="53"/>
        <v>58.491126400000212</v>
      </c>
      <c r="Y58" s="14">
        <f t="shared" si="53"/>
        <v>1921.9335637999975</v>
      </c>
      <c r="Z58" s="14">
        <f t="shared" si="53"/>
        <v>-184.24420229999851</v>
      </c>
      <c r="AA58" s="14">
        <f t="shared" si="53"/>
        <v>-36.086103099998581</v>
      </c>
      <c r="AB58" s="14">
        <f t="shared" si="53"/>
        <v>19283.560526899993</v>
      </c>
      <c r="AC58" s="14">
        <f t="shared" si="53"/>
        <v>-3.6687342000004719</v>
      </c>
      <c r="AD58" s="14">
        <f t="shared" si="53"/>
        <v>-21103.967554099996</v>
      </c>
      <c r="AE58" s="14">
        <f t="shared" si="53"/>
        <v>118.61471729999903</v>
      </c>
      <c r="AF58" s="14">
        <f t="shared" si="53"/>
        <v>-290.71908340000027</v>
      </c>
      <c r="AG58" s="14">
        <f>AG30-N30</f>
        <v>-14773.771752799999</v>
      </c>
      <c r="AH58" s="14">
        <f t="shared" si="53"/>
        <v>241.1377780999992</v>
      </c>
      <c r="AI58" s="14">
        <f t="shared" si="53"/>
        <v>343.69283540000106</v>
      </c>
      <c r="AJ58" s="14">
        <f t="shared" si="53"/>
        <v>-905.6329139999998</v>
      </c>
      <c r="AK58" s="14">
        <f t="shared" si="53"/>
        <v>102.71178409999993</v>
      </c>
      <c r="AL58" s="14">
        <f t="shared" si="53"/>
        <v>15.932580700000472</v>
      </c>
      <c r="AM58" s="14">
        <f t="shared" si="53"/>
        <v>-2369.4851126000012</v>
      </c>
      <c r="AN58" s="14">
        <f t="shared" si="53"/>
        <v>433.73621880000064</v>
      </c>
      <c r="AO58" s="14">
        <f t="shared" si="53"/>
        <v>128.36553219999951</v>
      </c>
      <c r="AP58" s="14">
        <f t="shared" si="53"/>
        <v>-11.039705199998934</v>
      </c>
      <c r="AQ58" s="14">
        <f t="shared" si="53"/>
        <v>-642.68189070000062</v>
      </c>
      <c r="AR58" s="14">
        <f t="shared" si="53"/>
        <v>1976.5398723999997</v>
      </c>
      <c r="AS58" s="14">
        <f t="shared" si="53"/>
        <v>4.9778629000011279</v>
      </c>
      <c r="AT58" s="14">
        <f t="shared" si="53"/>
        <v>-4.1730888000010964</v>
      </c>
      <c r="AU58" s="14">
        <f t="shared" si="53"/>
        <v>1958.6512613999994</v>
      </c>
      <c r="AV58" s="14">
        <f t="shared" si="53"/>
        <v>30.787624400001732</v>
      </c>
      <c r="AW58" s="14">
        <f t="shared" si="53"/>
        <v>-153.26884310000059</v>
      </c>
      <c r="AX58" s="14">
        <f t="shared" si="53"/>
        <v>-1133.7503004999999</v>
      </c>
      <c r="AY58" s="14">
        <f t="shared" si="53"/>
        <v>26.495391899999959</v>
      </c>
      <c r="AZ58" s="14">
        <f t="shared" si="53"/>
        <v>-990.45801829999982</v>
      </c>
      <c r="BA58" s="14">
        <f>BA30-AG30</f>
        <v>-904.41084059999957</v>
      </c>
      <c r="BB58" s="14">
        <f t="shared" si="53"/>
        <v>-615.54451400000016</v>
      </c>
      <c r="BC58" s="14">
        <f t="shared" si="53"/>
        <v>846.21995700000025</v>
      </c>
      <c r="BD58" s="14">
        <f t="shared" si="53"/>
        <v>754.95185859999947</v>
      </c>
      <c r="BE58" s="14">
        <f t="shared" si="53"/>
        <v>-1300.2991730000003</v>
      </c>
      <c r="BF58" s="14">
        <f t="shared" si="53"/>
        <v>7.1469458000010491</v>
      </c>
      <c r="BG58" s="14">
        <f t="shared" si="53"/>
        <v>-984.62551839999924</v>
      </c>
      <c r="BH58" s="14">
        <f t="shared" si="53"/>
        <v>-149.37412720000157</v>
      </c>
      <c r="BI58" s="14">
        <f t="shared" si="53"/>
        <v>1781.7570249000009</v>
      </c>
      <c r="BJ58" s="14">
        <f t="shared" si="53"/>
        <v>-1777.2301637</v>
      </c>
      <c r="BK58" s="14">
        <f t="shared" si="53"/>
        <v>-10.514200300000084</v>
      </c>
      <c r="BL58" s="14">
        <f t="shared" si="53"/>
        <v>574.34505079999963</v>
      </c>
      <c r="BM58" s="14">
        <f t="shared" si="53"/>
        <v>-46.701915100000406</v>
      </c>
      <c r="BN58" s="14">
        <f t="shared" si="53"/>
        <v>32618.855794200001</v>
      </c>
      <c r="BO58" s="14">
        <f t="shared" si="53"/>
        <v>-30499.5009068</v>
      </c>
      <c r="BP58" s="14">
        <f t="shared" si="53"/>
        <v>2124.7283174999993</v>
      </c>
      <c r="BQ58" s="14">
        <f t="shared" si="53"/>
        <v>-2388.0256345999987</v>
      </c>
      <c r="BR58" s="14">
        <f t="shared" si="53"/>
        <v>-934.29040200000054</v>
      </c>
      <c r="BS58" s="14">
        <f t="shared" si="53"/>
        <v>11650.571466200003</v>
      </c>
      <c r="BT58" s="14">
        <f t="shared" si="53"/>
        <v>-11736.396132400001</v>
      </c>
      <c r="BU58" s="14">
        <f t="shared" si="53"/>
        <v>-229.24131019999913</v>
      </c>
      <c r="BV58" s="14">
        <f>BV30-BA30</f>
        <v>213.99026080000021</v>
      </c>
      <c r="BW58" s="14">
        <f t="shared" si="53"/>
        <v>372.62552450000021</v>
      </c>
      <c r="BX58" s="14">
        <f t="shared" si="53"/>
        <v>244.20481039999868</v>
      </c>
      <c r="BY58" s="14">
        <f t="shared" si="53"/>
        <v>45.248886100000163</v>
      </c>
      <c r="BZ58" s="14">
        <f t="shared" si="53"/>
        <v>55.870034300001862</v>
      </c>
      <c r="CA58" s="14">
        <f t="shared" si="53"/>
        <v>-504.27536780000082</v>
      </c>
      <c r="CB58" s="14">
        <f t="shared" si="53"/>
        <v>-44.625995900000817</v>
      </c>
      <c r="CC58" s="14">
        <f t="shared" si="53"/>
        <v>1958.2700117000013</v>
      </c>
      <c r="CD58" s="14">
        <f t="shared" si="53"/>
        <v>-2112.6523991000013</v>
      </c>
      <c r="CE58" s="14">
        <f t="shared" si="53"/>
        <v>-184.5253146999994</v>
      </c>
      <c r="CF58" s="14">
        <f t="shared" si="53"/>
        <v>-357.53778460000012</v>
      </c>
      <c r="CG58" s="14">
        <f t="shared" si="53"/>
        <v>1844.7458275999998</v>
      </c>
      <c r="CH58" s="14">
        <f t="shared" si="53"/>
        <v>116.71306460000051</v>
      </c>
      <c r="CI58" s="14">
        <f t="shared" si="53"/>
        <v>-247.76602690000072</v>
      </c>
      <c r="CJ58" s="14">
        <f t="shared" si="53"/>
        <v>39.570598899999823</v>
      </c>
      <c r="CK58" s="14">
        <f t="shared" si="53"/>
        <v>2781.9285307999999</v>
      </c>
      <c r="CL58" s="14">
        <f t="shared" si="53"/>
        <v>-1343.4985877999989</v>
      </c>
      <c r="CM58" s="14">
        <f t="shared" si="53"/>
        <v>2567.407911100001</v>
      </c>
      <c r="CN58" s="14">
        <f t="shared" si="53"/>
        <v>1020.3006248999973</v>
      </c>
      <c r="CO58" s="14">
        <f t="shared" si="53"/>
        <v>-786.57508629999938</v>
      </c>
      <c r="CP58" s="14">
        <f t="shared" si="53"/>
        <v>-4646.0159691999997</v>
      </c>
      <c r="CQ58" s="14">
        <f t="shared" si="23"/>
        <v>813.93703449999975</v>
      </c>
      <c r="CR58" s="14">
        <f t="shared" si="53"/>
        <v>224.98632100000032</v>
      </c>
      <c r="CS58" s="14">
        <f t="shared" si="53"/>
        <v>626.82435479999913</v>
      </c>
      <c r="CT58" s="14">
        <f t="shared" si="53"/>
        <v>-17.810553199999049</v>
      </c>
      <c r="CU58" s="14">
        <f t="shared" si="53"/>
        <v>-1527.5847579000001</v>
      </c>
      <c r="CV58" s="14">
        <f t="shared" si="53"/>
        <v>30.976818000000094</v>
      </c>
      <c r="CW58" s="14">
        <f t="shared" si="53"/>
        <v>-1254.5392826999996</v>
      </c>
      <c r="CX58" s="14">
        <f t="shared" si="53"/>
        <v>10.578064899999845</v>
      </c>
      <c r="CY58" s="14">
        <f t="shared" si="53"/>
        <v>37.78002639999977</v>
      </c>
      <c r="CZ58" s="14">
        <f t="shared" si="53"/>
        <v>1417.3816546999997</v>
      </c>
      <c r="DA58" s="14">
        <f t="shared" si="53"/>
        <v>-813.44115329999931</v>
      </c>
      <c r="DB58" s="14">
        <f t="shared" si="53"/>
        <v>2987.4553313999986</v>
      </c>
      <c r="DC58" s="14">
        <f t="shared" si="53"/>
        <v>2042.9447438000007</v>
      </c>
      <c r="DD58" s="14">
        <f t="shared" si="53"/>
        <v>-49.45531690000098</v>
      </c>
      <c r="DE58" s="14">
        <f t="shared" si="53"/>
        <v>-40.652828899999804</v>
      </c>
      <c r="DF58" s="14">
        <f t="shared" si="53"/>
        <v>24.6367508000003</v>
      </c>
      <c r="DG58" s="14">
        <f t="shared" si="53"/>
        <v>-1518.7055553999999</v>
      </c>
      <c r="DH58" s="14">
        <f t="shared" si="53"/>
        <v>11925.471311500001</v>
      </c>
      <c r="DI58" s="14">
        <f t="shared" si="53"/>
        <v>-11337.641596800002</v>
      </c>
      <c r="DJ58" s="14">
        <f t="shared" si="24"/>
        <v>2296.2062148999994</v>
      </c>
      <c r="DK58" s="14">
        <f t="shared" si="53"/>
        <v>-961.3996829000007</v>
      </c>
      <c r="DL58" s="14">
        <f t="shared" si="53"/>
        <v>1017.3383992000017</v>
      </c>
      <c r="DM58" s="14">
        <f t="shared" si="53"/>
        <v>-597.96003649999875</v>
      </c>
      <c r="DN58" s="14">
        <f t="shared" si="53"/>
        <v>-41.311289200002648</v>
      </c>
      <c r="DO58" s="14">
        <f t="shared" si="53"/>
        <v>537.937565000002</v>
      </c>
      <c r="DP58" s="14">
        <f t="shared" si="53"/>
        <v>-18.444590699999026</v>
      </c>
      <c r="DQ58" s="14">
        <f t="shared" si="53"/>
        <v>-1321.3152487000025</v>
      </c>
      <c r="DR58" s="14">
        <f t="shared" si="53"/>
        <v>-368.6049882999996</v>
      </c>
      <c r="DS58" s="14">
        <f t="shared" si="53"/>
        <v>39.489802199999758</v>
      </c>
      <c r="DT58" s="14">
        <f t="shared" si="53"/>
        <v>-13.304685299999619</v>
      </c>
      <c r="DU58" s="14">
        <f t="shared" si="53"/>
        <v>470.5712749000013</v>
      </c>
      <c r="DV58" s="14">
        <f t="shared" si="53"/>
        <v>-7.688781700002437</v>
      </c>
      <c r="DW58" s="14">
        <f t="shared" si="53"/>
        <v>-9.5397185000001627</v>
      </c>
      <c r="DX58" s="14">
        <f t="shared" si="53"/>
        <v>-2216.9157423999977</v>
      </c>
      <c r="DY58" s="14">
        <f t="shared" si="53"/>
        <v>1365.5753142999993</v>
      </c>
      <c r="DZ58" s="14">
        <f t="shared" si="53"/>
        <v>370.16134949999832</v>
      </c>
      <c r="EA58" s="14">
        <f t="shared" si="53"/>
        <v>454.58768590000363</v>
      </c>
      <c r="EB58" s="14">
        <f t="shared" si="53"/>
        <v>7288.8054710999968</v>
      </c>
      <c r="EC58" s="14">
        <f t="shared" si="53"/>
        <v>-9002.0096792999975</v>
      </c>
      <c r="ED58" s="14">
        <f t="shared" si="53"/>
        <v>-711.93395540000074</v>
      </c>
      <c r="EE58" s="14">
        <f t="shared" si="25"/>
        <v>-3769.6415470999982</v>
      </c>
      <c r="EF58" s="14">
        <f t="shared" si="53"/>
        <v>1697.1005347999999</v>
      </c>
    </row>
    <row r="59" spans="1:136" x14ac:dyDescent="0.3">
      <c r="A59" s="2" t="s">
        <v>8</v>
      </c>
      <c r="B59" s="14"/>
      <c r="C59" s="14">
        <f>C31-B31</f>
        <v>1255.9822214000003</v>
      </c>
      <c r="D59" s="14">
        <f t="shared" ref="D59:EF59" si="54">D31-C31</f>
        <v>-349.33981220000078</v>
      </c>
      <c r="E59" s="14">
        <f t="shared" si="54"/>
        <v>808.36313050000035</v>
      </c>
      <c r="F59" s="14">
        <f t="shared" si="54"/>
        <v>-909.74739260000024</v>
      </c>
      <c r="G59" s="14">
        <f t="shared" si="54"/>
        <v>161.51733809999996</v>
      </c>
      <c r="H59" s="14">
        <f t="shared" si="54"/>
        <v>-112.75817819999929</v>
      </c>
      <c r="I59" s="14">
        <f t="shared" si="54"/>
        <v>456.66004919999978</v>
      </c>
      <c r="J59" s="14">
        <f t="shared" si="54"/>
        <v>1247.9647337999995</v>
      </c>
      <c r="K59" s="14">
        <f t="shared" si="54"/>
        <v>190.31119999999919</v>
      </c>
      <c r="L59" s="14">
        <f t="shared" si="54"/>
        <v>-220.2738892999987</v>
      </c>
      <c r="M59" s="14">
        <f t="shared" si="54"/>
        <v>-946.51459050000039</v>
      </c>
      <c r="N59" s="14">
        <f t="shared" si="54"/>
        <v>-602.59226239999998</v>
      </c>
      <c r="O59" s="14">
        <f t="shared" si="54"/>
        <v>776.30473670000038</v>
      </c>
      <c r="P59" s="14">
        <f t="shared" si="54"/>
        <v>-32.544800700000451</v>
      </c>
      <c r="Q59" s="14">
        <f t="shared" si="54"/>
        <v>-544.82796829999961</v>
      </c>
      <c r="R59" s="14">
        <f t="shared" si="54"/>
        <v>751.81325459999971</v>
      </c>
      <c r="S59" s="14">
        <f t="shared" si="54"/>
        <v>-364.83372099999951</v>
      </c>
      <c r="T59" s="14">
        <f t="shared" si="54"/>
        <v>2749.9110718000006</v>
      </c>
      <c r="U59" s="14">
        <f t="shared" si="54"/>
        <v>-2471.296521700001</v>
      </c>
      <c r="V59" s="14">
        <f t="shared" si="54"/>
        <v>18.610874299999978</v>
      </c>
      <c r="W59" s="14">
        <f t="shared" si="54"/>
        <v>-156.61384990000033</v>
      </c>
      <c r="X59" s="14">
        <f t="shared" si="54"/>
        <v>337.51386110000067</v>
      </c>
      <c r="Y59" s="14">
        <f t="shared" si="54"/>
        <v>-634.26807980000012</v>
      </c>
      <c r="Z59" s="14">
        <f t="shared" si="54"/>
        <v>339.16475429999991</v>
      </c>
      <c r="AA59" s="14">
        <f t="shared" si="54"/>
        <v>33.886457099999461</v>
      </c>
      <c r="AB59" s="14">
        <f t="shared" si="54"/>
        <v>118.14555430000064</v>
      </c>
      <c r="AC59" s="14">
        <f t="shared" si="54"/>
        <v>8.2542656000000534</v>
      </c>
      <c r="AD59" s="14">
        <f t="shared" si="54"/>
        <v>-417.07658309999988</v>
      </c>
      <c r="AE59" s="14">
        <f t="shared" si="54"/>
        <v>788.52795219999871</v>
      </c>
      <c r="AF59" s="14">
        <f t="shared" si="54"/>
        <v>3306.6538306000011</v>
      </c>
      <c r="AG59" s="14">
        <f>AG31-N31</f>
        <v>1185.6601283999998</v>
      </c>
      <c r="AH59" s="14">
        <f t="shared" si="54"/>
        <v>141.83061040000121</v>
      </c>
      <c r="AI59" s="14">
        <f t="shared" si="54"/>
        <v>-817.34042830000135</v>
      </c>
      <c r="AJ59" s="14">
        <f t="shared" si="54"/>
        <v>233.06558300000006</v>
      </c>
      <c r="AK59" s="14">
        <f t="shared" si="54"/>
        <v>41.855191999999988</v>
      </c>
      <c r="AL59" s="14">
        <f t="shared" si="54"/>
        <v>904.01308940000035</v>
      </c>
      <c r="AM59" s="14">
        <f t="shared" si="54"/>
        <v>-1106.8141777999995</v>
      </c>
      <c r="AN59" s="14">
        <f t="shared" si="54"/>
        <v>830.07466979999981</v>
      </c>
      <c r="AO59" s="14">
        <f t="shared" si="54"/>
        <v>12.952486899999712</v>
      </c>
      <c r="AP59" s="14">
        <f t="shared" si="54"/>
        <v>2156.0172146000004</v>
      </c>
      <c r="AQ59" s="14">
        <f t="shared" si="54"/>
        <v>-3180.7264295000004</v>
      </c>
      <c r="AR59" s="14">
        <f t="shared" si="54"/>
        <v>4814.4023362999997</v>
      </c>
      <c r="AS59" s="14">
        <f t="shared" si="54"/>
        <v>-4453.7763448999995</v>
      </c>
      <c r="AT59" s="14">
        <f t="shared" si="54"/>
        <v>422.05552989999978</v>
      </c>
      <c r="AU59" s="14">
        <f t="shared" si="54"/>
        <v>-429.18951659999948</v>
      </c>
      <c r="AV59" s="14">
        <f t="shared" si="54"/>
        <v>1120.0115381999994</v>
      </c>
      <c r="AW59" s="14">
        <f t="shared" si="54"/>
        <v>758.80099580000024</v>
      </c>
      <c r="AX59" s="14">
        <f t="shared" si="54"/>
        <v>-1742.1994655000003</v>
      </c>
      <c r="AY59" s="14">
        <f t="shared" si="54"/>
        <v>330.29920309999989</v>
      </c>
      <c r="AZ59" s="14">
        <f t="shared" si="54"/>
        <v>2610.1913619000006</v>
      </c>
      <c r="BA59" s="14">
        <f>BA31-AG31</f>
        <v>291.470556700001</v>
      </c>
      <c r="BB59" s="14">
        <f t="shared" si="54"/>
        <v>1573.0864393999991</v>
      </c>
      <c r="BC59" s="14">
        <f t="shared" si="54"/>
        <v>-1521.4727944999995</v>
      </c>
      <c r="BD59" s="14">
        <f t="shared" si="54"/>
        <v>2309.1061886999996</v>
      </c>
      <c r="BE59" s="14">
        <f t="shared" si="54"/>
        <v>-1270.6615591</v>
      </c>
      <c r="BF59" s="14">
        <f t="shared" si="54"/>
        <v>-480.91696040000079</v>
      </c>
      <c r="BG59" s="14">
        <f t="shared" si="54"/>
        <v>-707.77827409999827</v>
      </c>
      <c r="BH59" s="14">
        <f t="shared" si="54"/>
        <v>36.235937099998409</v>
      </c>
      <c r="BI59" s="14">
        <f t="shared" si="54"/>
        <v>289.95508390000123</v>
      </c>
      <c r="BJ59" s="14">
        <f t="shared" si="54"/>
        <v>-12.274915900000451</v>
      </c>
      <c r="BK59" s="14">
        <f t="shared" si="54"/>
        <v>0</v>
      </c>
      <c r="BL59" s="14">
        <f t="shared" si="54"/>
        <v>377.72289459999956</v>
      </c>
      <c r="BM59" s="14">
        <f t="shared" si="54"/>
        <v>-681.25439939999887</v>
      </c>
      <c r="BN59" s="14">
        <f t="shared" si="54"/>
        <v>63.772593699999561</v>
      </c>
      <c r="BO59" s="14">
        <f t="shared" si="54"/>
        <v>-220.7200813999998</v>
      </c>
      <c r="BP59" s="14">
        <f t="shared" si="54"/>
        <v>305.01184279999961</v>
      </c>
      <c r="BQ59" s="14">
        <f t="shared" si="54"/>
        <v>-60.28144919999977</v>
      </c>
      <c r="BR59" s="14">
        <f t="shared" si="54"/>
        <v>-137.77543510000032</v>
      </c>
      <c r="BS59" s="14">
        <f t="shared" si="54"/>
        <v>38.532725999999457</v>
      </c>
      <c r="BT59" s="14">
        <f t="shared" si="54"/>
        <v>688.67555660000107</v>
      </c>
      <c r="BU59" s="14">
        <f t="shared" si="54"/>
        <v>-135.78746289999981</v>
      </c>
      <c r="BV59" s="14">
        <f>BV31-BA31</f>
        <v>420.96520489999875</v>
      </c>
      <c r="BW59" s="14">
        <f t="shared" si="54"/>
        <v>-50.50789309999891</v>
      </c>
      <c r="BX59" s="14">
        <f t="shared" si="54"/>
        <v>237.42822650000016</v>
      </c>
      <c r="BY59" s="14">
        <f t="shared" si="54"/>
        <v>486.00669159999961</v>
      </c>
      <c r="BZ59" s="14">
        <f t="shared" si="54"/>
        <v>-686.60424689999945</v>
      </c>
      <c r="CA59" s="14">
        <f t="shared" si="54"/>
        <v>631.74961389999862</v>
      </c>
      <c r="CB59" s="14">
        <f t="shared" si="54"/>
        <v>-255.29756880000059</v>
      </c>
      <c r="CC59" s="14">
        <f t="shared" si="54"/>
        <v>144.55697510000118</v>
      </c>
      <c r="CD59" s="14">
        <f t="shared" si="54"/>
        <v>-68.008936800000811</v>
      </c>
      <c r="CE59" s="14">
        <f t="shared" si="54"/>
        <v>-589.4527679999992</v>
      </c>
      <c r="CF59" s="14">
        <f t="shared" si="54"/>
        <v>411.74662919999992</v>
      </c>
      <c r="CG59" s="14">
        <f t="shared" si="54"/>
        <v>768.02306229999976</v>
      </c>
      <c r="CH59" s="14">
        <f t="shared" si="54"/>
        <v>-877.24390249999942</v>
      </c>
      <c r="CI59" s="14">
        <f t="shared" si="54"/>
        <v>2235.5371625999996</v>
      </c>
      <c r="CJ59" s="14">
        <f t="shared" si="54"/>
        <v>-2310.3638445000006</v>
      </c>
      <c r="CK59" s="14">
        <f t="shared" si="54"/>
        <v>111.28053620000082</v>
      </c>
      <c r="CL59" s="14">
        <f t="shared" si="54"/>
        <v>0.68544930000007298</v>
      </c>
      <c r="CM59" s="14">
        <f t="shared" si="54"/>
        <v>661.92151359999934</v>
      </c>
      <c r="CN59" s="14">
        <f t="shared" si="54"/>
        <v>-824.38061609999932</v>
      </c>
      <c r="CO59" s="14">
        <f t="shared" si="54"/>
        <v>767.62484029999996</v>
      </c>
      <c r="CP59" s="14">
        <f t="shared" si="54"/>
        <v>-670.09023440000055</v>
      </c>
      <c r="CQ59" s="14">
        <f t="shared" si="23"/>
        <v>1197.4737498000004</v>
      </c>
      <c r="CR59" s="14">
        <f t="shared" si="54"/>
        <v>-997.05023210000036</v>
      </c>
      <c r="CS59" s="14">
        <f t="shared" si="54"/>
        <v>36.107266900001378</v>
      </c>
      <c r="CT59" s="14">
        <f t="shared" si="54"/>
        <v>651.78937669999959</v>
      </c>
      <c r="CU59" s="14">
        <f t="shared" si="54"/>
        <v>-397.00570730000072</v>
      </c>
      <c r="CV59" s="14">
        <f t="shared" si="54"/>
        <v>-6.0311385999993945</v>
      </c>
      <c r="CW59" s="14">
        <f t="shared" si="54"/>
        <v>-102.74223350000011</v>
      </c>
      <c r="CX59" s="14">
        <f t="shared" si="54"/>
        <v>-259.68920420000086</v>
      </c>
      <c r="CY59" s="14">
        <f t="shared" si="54"/>
        <v>256.82446179999988</v>
      </c>
      <c r="CZ59" s="14">
        <f t="shared" si="54"/>
        <v>-88.668741099999352</v>
      </c>
      <c r="DA59" s="14">
        <f t="shared" si="54"/>
        <v>-668.7747774999998</v>
      </c>
      <c r="DB59" s="14">
        <f t="shared" si="54"/>
        <v>343.96667259999958</v>
      </c>
      <c r="DC59" s="14">
        <f t="shared" si="54"/>
        <v>483.30941999999959</v>
      </c>
      <c r="DD59" s="14">
        <f t="shared" si="54"/>
        <v>77.578709400001571</v>
      </c>
      <c r="DE59" s="14">
        <f t="shared" si="54"/>
        <v>1059.1961730999992</v>
      </c>
      <c r="DF59" s="14">
        <f t="shared" si="54"/>
        <v>-1619.6557711999994</v>
      </c>
      <c r="DG59" s="14">
        <f t="shared" si="54"/>
        <v>-8.3682193000013285</v>
      </c>
      <c r="DH59" s="14">
        <f t="shared" si="54"/>
        <v>-278.69599049999943</v>
      </c>
      <c r="DI59" s="14">
        <f t="shared" si="54"/>
        <v>753.65822480000043</v>
      </c>
      <c r="DJ59" s="14">
        <f t="shared" si="24"/>
        <v>-834.03675169999951</v>
      </c>
      <c r="DK59" s="14">
        <f t="shared" si="54"/>
        <v>1109.7001737999999</v>
      </c>
      <c r="DL59" s="14">
        <f t="shared" si="54"/>
        <v>82.696040299999368</v>
      </c>
      <c r="DM59" s="14">
        <f t="shared" si="54"/>
        <v>608.90354820000084</v>
      </c>
      <c r="DN59" s="14">
        <f t="shared" si="54"/>
        <v>-1900.4193671000003</v>
      </c>
      <c r="DO59" s="14">
        <f t="shared" si="54"/>
        <v>50.64354110000022</v>
      </c>
      <c r="DP59" s="14">
        <f t="shared" si="54"/>
        <v>7.8333660999987842</v>
      </c>
      <c r="DQ59" s="14">
        <f t="shared" si="54"/>
        <v>420.8605019000006</v>
      </c>
      <c r="DR59" s="14">
        <f t="shared" si="54"/>
        <v>-1064.1647012999993</v>
      </c>
      <c r="DS59" s="14">
        <f t="shared" si="54"/>
        <v>1129.8215291999995</v>
      </c>
      <c r="DT59" s="14">
        <f t="shared" si="54"/>
        <v>-143.38336699999945</v>
      </c>
      <c r="DU59" s="14">
        <f t="shared" si="54"/>
        <v>-46.137813700000152</v>
      </c>
      <c r="DV59" s="14">
        <f t="shared" si="54"/>
        <v>146.29341759999988</v>
      </c>
      <c r="DW59" s="14">
        <f t="shared" si="54"/>
        <v>-366.60435280000002</v>
      </c>
      <c r="DX59" s="14">
        <f t="shared" si="54"/>
        <v>-68.696751000000404</v>
      </c>
      <c r="DY59" s="14">
        <f t="shared" si="54"/>
        <v>-501.76865379999981</v>
      </c>
      <c r="DZ59" s="14">
        <f t="shared" si="54"/>
        <v>-1.6135983000003762</v>
      </c>
      <c r="EA59" s="14">
        <f t="shared" si="54"/>
        <v>185.30121880000024</v>
      </c>
      <c r="EB59" s="14">
        <f t="shared" si="54"/>
        <v>885.29525289999947</v>
      </c>
      <c r="EC59" s="14">
        <f t="shared" si="54"/>
        <v>-571.71956829999999</v>
      </c>
      <c r="ED59" s="14">
        <f t="shared" si="54"/>
        <v>111.48296690000097</v>
      </c>
      <c r="EE59" s="14">
        <f t="shared" si="25"/>
        <v>943.94212330000028</v>
      </c>
      <c r="EF59" s="14">
        <f t="shared" si="54"/>
        <v>1621.4391223999992</v>
      </c>
    </row>
    <row r="60" spans="1:136" x14ac:dyDescent="0.3">
      <c r="A60" s="4"/>
    </row>
    <row r="61" spans="1:136" x14ac:dyDescent="0.3">
      <c r="A61" s="17"/>
    </row>
    <row r="62" spans="1:136" ht="29.25" customHeight="1" x14ac:dyDescent="0.3">
      <c r="A62" s="25" t="s">
        <v>34</v>
      </c>
    </row>
    <row r="63" spans="1:136" x14ac:dyDescent="0.3">
      <c r="A63" s="26" t="s">
        <v>35</v>
      </c>
    </row>
  </sheetData>
  <hyperlinks>
    <hyperlink ref="A63" r:id="rId1" xr:uid="{00000000-0004-0000-00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E8CAFEA5DC2749948CBD4FD6B0851F" ma:contentTypeVersion="0" ma:contentTypeDescription="Create a new document." ma:contentTypeScope="" ma:versionID="69b77dcf995804c581f3554595b35fa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1AF1F3-6D34-4070-B8EB-08A921078837}"/>
</file>

<file path=customXml/itemProps2.xml><?xml version="1.0" encoding="utf-8"?>
<ds:datastoreItem xmlns:ds="http://schemas.openxmlformats.org/officeDocument/2006/customXml" ds:itemID="{8FB38B75-470E-497C-83A6-02F66E9A68EE}"/>
</file>

<file path=customXml/itemProps3.xml><?xml version="1.0" encoding="utf-8"?>
<ds:datastoreItem xmlns:ds="http://schemas.openxmlformats.org/officeDocument/2006/customXml" ds:itemID="{55E397FD-14C5-4924-BD31-D189A9A9B8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Eng actual exchange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2009-06-02T04:31:13Z</dcterms:created>
  <dcterms:modified xsi:type="dcterms:W3CDTF">2025-07-02T05:31:36Z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0x0101001DE8CAFEA5DC2749948CBD4FD6B0851F</vt:lpwstr>
  </property>
</Properties>
</file>